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https://learnitanywhere-my.sharepoint.com/personal/faz_karim_learnit_com/Documents/Learnit Clients/Learnit/ELEARNING VIDEOS/Excel Power User Elearning 9302020 FK/"/>
    </mc:Choice>
  </mc:AlternateContent>
  <xr:revisionPtr revIDLastSave="10" documentId="114_{5945C898-B304-415D-8C32-F750BFCE87E0}" xr6:coauthVersionLast="45" xr6:coauthVersionMax="45" xr10:uidLastSave="{2CF60EB7-BF75-4433-838D-71B6DBC5098C}"/>
  <bookViews>
    <workbookView xWindow="2355" yWindow="0" windowWidth="28800" windowHeight="15600" tabRatio="976" firstSheet="9" activeTab="22" xr2:uid="{9FA039DF-0EF0-4F09-BA08-C562FA66D1BA}"/>
  </bookViews>
  <sheets>
    <sheet name="VLOOKUP-INDEXMATCH" sheetId="1" r:id="rId1"/>
    <sheet name="VLOOKUP RANGE" sheetId="2" state="hidden" r:id="rId2"/>
    <sheet name="IF Function" sheetId="3" state="hidden" r:id="rId3"/>
    <sheet name="Text Functions" sheetId="7" state="hidden" r:id="rId4"/>
    <sheet name="Text" sheetId="6" r:id="rId5"/>
    <sheet name="Data" sheetId="5" state="hidden" r:id="rId6"/>
    <sheet name="PT1" sheetId="22" r:id="rId7"/>
    <sheet name="PT2" sheetId="23" r:id="rId8"/>
    <sheet name=" Complete Data" sheetId="4" r:id="rId9"/>
    <sheet name="Array Formulas" sheetId="12" r:id="rId10"/>
    <sheet name="Index &amp; Match Mulitple Search" sheetId="11" r:id="rId11"/>
    <sheet name=" Hide Errors" sheetId="13" r:id="rId12"/>
    <sheet name="Hide Duplicate Values" sheetId="14" r:id="rId13"/>
    <sheet name="Format Entire Row " sheetId="15" r:id="rId14"/>
    <sheet name="Banded Rows Conditional Format" sheetId="16" r:id="rId15"/>
    <sheet name="Charting 1" sheetId="9" r:id="rId16"/>
    <sheet name="Charting 2" sheetId="10" state="hidden" r:id="rId17"/>
    <sheet name="SparkLines" sheetId="8" r:id="rId18"/>
    <sheet name="Intro Macros" sheetId="17" r:id="rId19"/>
    <sheet name="Data for Recording" sheetId="18" r:id="rId20"/>
    <sheet name="Data for Running" sheetId="19" r:id="rId21"/>
    <sheet name="More Data" sheetId="20" r:id="rId22"/>
    <sheet name="Final Run" sheetId="21" r:id="rId23"/>
  </sheets>
  <definedNames>
    <definedName name="_xlnm._FilterDatabase" localSheetId="8" hidden="1">' Complete Data'!$A$3:$Z$372</definedName>
    <definedName name="_xlnm._FilterDatabase" localSheetId="5" hidden="1">Data!$A$3:$Z$68</definedName>
    <definedName name="_xlnm._FilterDatabase" localSheetId="0" hidden="1">'VLOOKUP-INDEXMATCH'!$B$9:$J$46</definedName>
    <definedName name="Slicer_Region">#N/A</definedName>
  </definedNames>
  <calcPr calcId="191029"/>
  <pivotCaches>
    <pivotCache cacheId="3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 i="21" l="1"/>
  <c r="C4" i="20"/>
  <c r="C4" i="19"/>
  <c r="C4" i="18"/>
  <c r="B3" i="17"/>
  <c r="A6" i="17"/>
  <c r="A9" i="17"/>
  <c r="B9" i="17"/>
  <c r="C9" i="17"/>
  <c r="C6" i="17" l="1"/>
  <c r="E6" i="17"/>
  <c r="D6" i="17"/>
  <c r="B6" i="17"/>
  <c r="G3" i="17"/>
  <c r="F3" i="17"/>
  <c r="E3" i="17"/>
  <c r="D3" i="17"/>
  <c r="C3" i="17"/>
  <c r="A3" i="17"/>
  <c r="F5" i="9"/>
  <c r="F6" i="9"/>
  <c r="F7" i="9"/>
  <c r="F8" i="9"/>
  <c r="F9" i="9"/>
  <c r="H13" i="11" a="1"/>
  <c r="H13" i="11" s="1"/>
  <c r="K7" i="11" a="1"/>
  <c r="K7" i="11" s="1"/>
  <c r="M13" i="12" a="1"/>
  <c r="M13" i="12" s="1"/>
  <c r="M3" i="12" a="1"/>
  <c r="M6" i="12" s="1"/>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5" i="6"/>
  <c r="C5" i="1"/>
  <c r="D4" i="1"/>
  <c r="C4" i="1"/>
  <c r="M8" i="12" l="1"/>
  <c r="M5" i="12"/>
  <c r="M12" i="12"/>
  <c r="M4" i="12"/>
  <c r="M11" i="12"/>
  <c r="M3" i="12"/>
  <c r="M10" i="12"/>
  <c r="M9" i="12"/>
  <c r="M7" i="12"/>
  <c r="F168" i="16"/>
  <c r="F167" i="16"/>
  <c r="F166" i="16"/>
  <c r="F165" i="16"/>
  <c r="F164" i="16"/>
  <c r="F163" i="16"/>
  <c r="F162" i="16"/>
  <c r="F161" i="16"/>
  <c r="F160" i="16"/>
  <c r="F159" i="16"/>
  <c r="F158" i="16"/>
  <c r="F157" i="16"/>
  <c r="F156" i="16"/>
  <c r="F155" i="16"/>
  <c r="F154" i="16"/>
  <c r="F153" i="16"/>
  <c r="F152" i="16"/>
  <c r="F151" i="16"/>
  <c r="F150" i="16"/>
  <c r="F149" i="16"/>
  <c r="F148" i="16"/>
  <c r="F147" i="16"/>
  <c r="F146" i="16"/>
  <c r="F145" i="16"/>
  <c r="F144" i="16"/>
  <c r="F143" i="16"/>
  <c r="F142" i="16"/>
  <c r="F141" i="16"/>
  <c r="F140" i="16"/>
  <c r="F139" i="16"/>
  <c r="F138" i="16"/>
  <c r="F137" i="16"/>
  <c r="F136" i="16"/>
  <c r="F135" i="16"/>
  <c r="F134" i="16"/>
  <c r="F133" i="16"/>
  <c r="F132" i="16"/>
  <c r="F131" i="16"/>
  <c r="F130" i="16"/>
  <c r="F129" i="16"/>
  <c r="F128" i="16"/>
  <c r="F127" i="16"/>
  <c r="F126" i="16"/>
  <c r="F125" i="16"/>
  <c r="F124" i="16"/>
  <c r="F123" i="16"/>
  <c r="F122" i="16"/>
  <c r="F121" i="16"/>
  <c r="F120" i="16"/>
  <c r="F119" i="16"/>
  <c r="F118" i="16"/>
  <c r="F117" i="16"/>
  <c r="F116" i="16"/>
  <c r="F115" i="16"/>
  <c r="F114" i="16"/>
  <c r="F113" i="16"/>
  <c r="F112" i="16"/>
  <c r="F111" i="16"/>
  <c r="F110" i="16"/>
  <c r="F109" i="16"/>
  <c r="F108" i="16"/>
  <c r="F107" i="16"/>
  <c r="F106" i="16"/>
  <c r="F105" i="16"/>
  <c r="F104" i="16"/>
  <c r="F103" i="16"/>
  <c r="F102" i="16"/>
  <c r="F101" i="16"/>
  <c r="F100" i="16"/>
  <c r="F99" i="16"/>
  <c r="F98" i="16"/>
  <c r="F97" i="16"/>
  <c r="F96" i="16"/>
  <c r="F95" i="16"/>
  <c r="F94" i="16"/>
  <c r="F93" i="16"/>
  <c r="F92" i="16"/>
  <c r="F91" i="16"/>
  <c r="F90" i="16"/>
  <c r="F89" i="16"/>
  <c r="F88" i="16"/>
  <c r="F87" i="16"/>
  <c r="F86" i="16"/>
  <c r="F85" i="16"/>
  <c r="F84" i="16"/>
  <c r="F83" i="16"/>
  <c r="F82" i="16"/>
  <c r="F81" i="16"/>
  <c r="F80" i="16"/>
  <c r="F79" i="16"/>
  <c r="F78" i="16"/>
  <c r="F77" i="16"/>
  <c r="F76" i="16"/>
  <c r="F75" i="16"/>
  <c r="F74" i="16"/>
  <c r="F73" i="16"/>
  <c r="F72" i="16"/>
  <c r="F71" i="16"/>
  <c r="F70" i="16"/>
  <c r="F69" i="16"/>
  <c r="F68" i="16"/>
  <c r="F67" i="16"/>
  <c r="F66" i="16"/>
  <c r="F65" i="16"/>
  <c r="F64" i="16"/>
  <c r="F63" i="16"/>
  <c r="F62" i="16"/>
  <c r="F61" i="1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D4" i="15"/>
  <c r="D3" i="15"/>
  <c r="D2" i="15"/>
  <c r="A2" i="15"/>
  <c r="A3" i="15" s="1"/>
  <c r="A4" i="15" s="1"/>
  <c r="C5" i="13"/>
  <c r="C4" i="13"/>
  <c r="C3" i="13"/>
  <c r="C2" i="13"/>
  <c r="D14" i="12" a="1"/>
  <c r="D14" i="12" s="1"/>
  <c r="E3" i="12" a="1"/>
  <c r="E10" i="12" s="1"/>
  <c r="H7" i="11" a="1"/>
  <c r="H7" i="11" s="1"/>
  <c r="T6" i="7"/>
  <c r="T5" i="7"/>
  <c r="T4" i="7"/>
  <c r="J98" i="6"/>
  <c r="J97" i="6"/>
  <c r="J96" i="6"/>
  <c r="J95" i="6"/>
  <c r="J94" i="6"/>
  <c r="J93" i="6"/>
  <c r="J92" i="6"/>
  <c r="J91" i="6"/>
  <c r="J90" i="6"/>
  <c r="J89" i="6"/>
  <c r="J88" i="6"/>
  <c r="J87" i="6"/>
  <c r="J86" i="6"/>
  <c r="J85" i="6"/>
  <c r="J84" i="6"/>
  <c r="J83" i="6"/>
  <c r="J82" i="6"/>
  <c r="J81" i="6"/>
  <c r="J80" i="6"/>
  <c r="J79" i="6"/>
  <c r="J78" i="6"/>
  <c r="J77" i="6"/>
  <c r="J76" i="6"/>
  <c r="J75" i="6"/>
  <c r="J74" i="6"/>
  <c r="J73" i="6"/>
  <c r="J72" i="6"/>
  <c r="J71" i="6"/>
  <c r="J70" i="6"/>
  <c r="J69" i="6"/>
  <c r="J68" i="6"/>
  <c r="J67" i="6"/>
  <c r="J66" i="6"/>
  <c r="J65" i="6"/>
  <c r="J64" i="6"/>
  <c r="J63" i="6"/>
  <c r="J62" i="6"/>
  <c r="J61" i="6"/>
  <c r="J60" i="6"/>
  <c r="J59" i="6"/>
  <c r="J58" i="6"/>
  <c r="J57" i="6"/>
  <c r="J56" i="6"/>
  <c r="J55" i="6"/>
  <c r="J54" i="6"/>
  <c r="J53" i="6"/>
  <c r="J52" i="6"/>
  <c r="J51" i="6"/>
  <c r="J50" i="6"/>
  <c r="J49" i="6"/>
  <c r="J48" i="6"/>
  <c r="J47" i="6"/>
  <c r="J46" i="6"/>
  <c r="J45" i="6"/>
  <c r="J44" i="6"/>
  <c r="J43" i="6"/>
  <c r="J42" i="6"/>
  <c r="J41" i="6"/>
  <c r="J40" i="6"/>
  <c r="J39" i="6"/>
  <c r="J38" i="6"/>
  <c r="J37" i="6"/>
  <c r="J36" i="6"/>
  <c r="J35" i="6"/>
  <c r="J34" i="6"/>
  <c r="J33" i="6"/>
  <c r="J32" i="6"/>
  <c r="J31" i="6"/>
  <c r="J30" i="6"/>
  <c r="J29" i="6"/>
  <c r="J28" i="6"/>
  <c r="J27" i="6"/>
  <c r="J26" i="6"/>
  <c r="J25" i="6"/>
  <c r="J24" i="6"/>
  <c r="J23" i="6"/>
  <c r="J22" i="6"/>
  <c r="J21" i="6"/>
  <c r="J20" i="6"/>
  <c r="J19" i="6"/>
  <c r="J18" i="6"/>
  <c r="J17" i="6"/>
  <c r="J16" i="6"/>
  <c r="J15" i="6"/>
  <c r="J14" i="6"/>
  <c r="J13" i="6"/>
  <c r="J12" i="6"/>
  <c r="J11" i="6"/>
  <c r="J10" i="6"/>
  <c r="J9" i="6"/>
  <c r="J8" i="6"/>
  <c r="J7" i="6"/>
  <c r="J6" i="6"/>
  <c r="J5" i="6"/>
  <c r="L66" i="5"/>
  <c r="L65" i="5"/>
  <c r="L64" i="5"/>
  <c r="L63" i="5"/>
  <c r="L62" i="5"/>
  <c r="L61" i="5"/>
  <c r="L60" i="5"/>
  <c r="L59" i="5"/>
  <c r="L58" i="5"/>
  <c r="L53" i="5"/>
  <c r="L52" i="5"/>
  <c r="L51" i="5"/>
  <c r="L50" i="5"/>
  <c r="L49" i="5"/>
  <c r="L48" i="5"/>
  <c r="L47" i="5"/>
  <c r="L46" i="5"/>
  <c r="L45" i="5"/>
  <c r="L44" i="5"/>
  <c r="L43" i="5"/>
  <c r="L42" i="5"/>
  <c r="L41" i="5"/>
  <c r="L40" i="5"/>
  <c r="L39" i="5"/>
  <c r="L38" i="5"/>
  <c r="L37" i="5"/>
  <c r="L36" i="5"/>
  <c r="L35" i="5"/>
  <c r="L34" i="5"/>
  <c r="L33" i="5"/>
  <c r="L32" i="5"/>
  <c r="L31" i="5"/>
  <c r="L30" i="5"/>
  <c r="L29" i="5"/>
  <c r="L28" i="5"/>
  <c r="L22" i="5"/>
  <c r="L21" i="5"/>
  <c r="L20" i="5"/>
  <c r="L18" i="5"/>
  <c r="L17" i="5"/>
  <c r="L16" i="5"/>
  <c r="L15" i="5"/>
  <c r="L14" i="5"/>
  <c r="L13" i="5"/>
  <c r="L12" i="5"/>
  <c r="L11" i="5"/>
  <c r="L10" i="5"/>
  <c r="L9" i="5"/>
  <c r="L8" i="5"/>
  <c r="L7" i="5"/>
  <c r="L6" i="5"/>
  <c r="L5" i="5"/>
  <c r="L4" i="5"/>
  <c r="E11" i="12" l="1"/>
  <c r="E12" i="12"/>
  <c r="E5" i="12"/>
  <c r="E3" i="12"/>
  <c r="E4" i="12"/>
  <c r="E6" i="12"/>
  <c r="E7" i="12"/>
  <c r="E8" i="12"/>
  <c r="E9" i="12"/>
  <c r="F10" i="3"/>
  <c r="F9" i="3"/>
  <c r="F8" i="3"/>
  <c r="F7" i="3"/>
  <c r="F6" i="3"/>
  <c r="F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Mary Magellan</author>
  </authors>
  <commentList>
    <comment ref="L4" authorId="0" shapeId="0" xr:uid="{9245E7B5-DF5F-49DF-B4B8-1913A3EF72B5}">
      <text>
        <r>
          <rPr>
            <b/>
            <sz val="10"/>
            <color indexed="81"/>
            <rFont val="Calibri"/>
            <family val="2"/>
          </rPr>
          <t>Extract the "YEAR" from the "Hire date" column</t>
        </r>
      </text>
    </comment>
    <comment ref="M4" authorId="0" shapeId="0" xr:uid="{E61CB823-B41E-4D51-A9CC-B9F727D3E290}">
      <text>
        <r>
          <rPr>
            <b/>
            <sz val="10"/>
            <color indexed="81"/>
            <rFont val="Calibri"/>
            <family val="2"/>
          </rPr>
          <t>=MONTH(F5)&amp;"/"&amp;YEAR(F5)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<sst xmlns="http://schemas.openxmlformats.org/spreadsheetml/2006/main" count="8655" uniqueCount="774">
  <si>
    <t>Employee Lookup</t>
  </si>
  <si>
    <t>=INDEX(B10:B46,MATCH(A4,A10:A46))</t>
  </si>
  <si>
    <t>Function</t>
  </si>
  <si>
    <t>Emp ID</t>
  </si>
  <si>
    <t>Last Name</t>
  </si>
  <si>
    <t>First Name</t>
  </si>
  <si>
    <t>Dept</t>
  </si>
  <si>
    <t>Pay Rate</t>
  </si>
  <si>
    <t>VLOOKUP</t>
  </si>
  <si>
    <t>INDEX &amp; MATCH</t>
  </si>
  <si>
    <t>Employee Information - Master List</t>
  </si>
  <si>
    <t xml:space="preserve"> </t>
  </si>
  <si>
    <t>E-mail</t>
  </si>
  <si>
    <t>Phone Ext</t>
  </si>
  <si>
    <t>Location</t>
  </si>
  <si>
    <t>Hire Date</t>
  </si>
  <si>
    <t>Smith</t>
  </si>
  <si>
    <t>Howard</t>
  </si>
  <si>
    <t>AT</t>
  </si>
  <si>
    <t>howards</t>
  </si>
  <si>
    <t>Building 1</t>
  </si>
  <si>
    <t>Gonzales</t>
  </si>
  <si>
    <t>Joe</t>
  </si>
  <si>
    <t>joeg</t>
  </si>
  <si>
    <t>Scote</t>
  </si>
  <si>
    <t>Gail</t>
  </si>
  <si>
    <t>gails</t>
  </si>
  <si>
    <t>Kane</t>
  </si>
  <si>
    <t>Sheryl</t>
  </si>
  <si>
    <t>AD</t>
  </si>
  <si>
    <t>sherylk</t>
  </si>
  <si>
    <t>Building 2</t>
  </si>
  <si>
    <t>Hapsbuch</t>
  </si>
  <si>
    <t>Kendrick</t>
  </si>
  <si>
    <t>AC</t>
  </si>
  <si>
    <t>kendrickh</t>
  </si>
  <si>
    <t>Henders</t>
  </si>
  <si>
    <t>Mark</t>
  </si>
  <si>
    <t>markh</t>
  </si>
  <si>
    <t>Atherton</t>
  </si>
  <si>
    <t>Katie</t>
  </si>
  <si>
    <t>HR</t>
  </si>
  <si>
    <t>katiea</t>
  </si>
  <si>
    <t>Building 3</t>
  </si>
  <si>
    <t>Bellwood</t>
  </si>
  <si>
    <t>Frank</t>
  </si>
  <si>
    <t>MK</t>
  </si>
  <si>
    <t>frankb</t>
  </si>
  <si>
    <t>Cooper</t>
  </si>
  <si>
    <t>Linda</t>
  </si>
  <si>
    <t>lindac</t>
  </si>
  <si>
    <t>Cronwith</t>
  </si>
  <si>
    <t>Brent</t>
  </si>
  <si>
    <t>brentc</t>
  </si>
  <si>
    <t>Simpson</t>
  </si>
  <si>
    <t>Sandrae</t>
  </si>
  <si>
    <t>MF</t>
  </si>
  <si>
    <t>sandraes</t>
  </si>
  <si>
    <t>Randy</t>
  </si>
  <si>
    <t>randys</t>
  </si>
  <si>
    <t>Ellen</t>
  </si>
  <si>
    <t>ellens</t>
  </si>
  <si>
    <t>Vuanuo</t>
  </si>
  <si>
    <t>Tuome</t>
  </si>
  <si>
    <t>tuomev</t>
  </si>
  <si>
    <t>Szcznyck</t>
  </si>
  <si>
    <t>Tadeuz</t>
  </si>
  <si>
    <t>tadeuzs</t>
  </si>
  <si>
    <t>Wu</t>
  </si>
  <si>
    <t>Tammy</t>
  </si>
  <si>
    <t>tammyw</t>
  </si>
  <si>
    <t>Miller</t>
  </si>
  <si>
    <t>Pam</t>
  </si>
  <si>
    <t>pamk</t>
  </si>
  <si>
    <t>Tom</t>
  </si>
  <si>
    <t>tomb</t>
  </si>
  <si>
    <t>Kellerman</t>
  </si>
  <si>
    <t>Tommie</t>
  </si>
  <si>
    <t>tomk</t>
  </si>
  <si>
    <t>Kourios</t>
  </si>
  <si>
    <t>Theo</t>
  </si>
  <si>
    <t>theok</t>
  </si>
  <si>
    <t>Dixon-Waite</t>
  </si>
  <si>
    <t>Sherrie</t>
  </si>
  <si>
    <t>sherried</t>
  </si>
  <si>
    <t>Boughton</t>
  </si>
  <si>
    <t>fboughton</t>
  </si>
  <si>
    <t>Janet</t>
  </si>
  <si>
    <t>janetm</t>
  </si>
  <si>
    <t>Alstain</t>
  </si>
  <si>
    <t>Isolde</t>
  </si>
  <si>
    <t>isoldea</t>
  </si>
  <si>
    <t>Sammler</t>
  </si>
  <si>
    <t>marks</t>
  </si>
  <si>
    <t>s</t>
  </si>
  <si>
    <t>Brwyne</t>
  </si>
  <si>
    <t>Melia</t>
  </si>
  <si>
    <t>meliab</t>
  </si>
  <si>
    <t>Barton</t>
  </si>
  <si>
    <t>Eileen</t>
  </si>
  <si>
    <t>eileenb</t>
  </si>
  <si>
    <t>Al-Sabah</t>
  </si>
  <si>
    <t>Daoud</t>
  </si>
  <si>
    <t>daouda</t>
  </si>
  <si>
    <t>Zostoc</t>
  </si>
  <si>
    <t>Melissa</t>
  </si>
  <si>
    <t>melissaz</t>
  </si>
  <si>
    <t>Ursula</t>
  </si>
  <si>
    <t>ursulam</t>
  </si>
  <si>
    <t>Fontaine</t>
  </si>
  <si>
    <t>Jean</t>
  </si>
  <si>
    <t>jeanf</t>
  </si>
  <si>
    <t>Corwick</t>
  </si>
  <si>
    <t>Rob</t>
  </si>
  <si>
    <t>robertc</t>
  </si>
  <si>
    <t>Larry</t>
  </si>
  <si>
    <t>larryf</t>
  </si>
  <si>
    <t>Judy</t>
  </si>
  <si>
    <t>judyc</t>
  </si>
  <si>
    <t>Chang</t>
  </si>
  <si>
    <t>Jessica</t>
  </si>
  <si>
    <t>jessc</t>
  </si>
  <si>
    <t>Maria</t>
  </si>
  <si>
    <t>mariam</t>
  </si>
  <si>
    <t>Atherly</t>
  </si>
  <si>
    <t>Katherine</t>
  </si>
  <si>
    <t>kathya</t>
  </si>
  <si>
    <t>Bonus Calculation Table</t>
  </si>
  <si>
    <t>Name</t>
  </si>
  <si>
    <t>Sales</t>
  </si>
  <si>
    <t>Bonus</t>
  </si>
  <si>
    <t>Bonus Lookup Table</t>
  </si>
  <si>
    <t>Mickey</t>
  </si>
  <si>
    <t>Holiday</t>
  </si>
  <si>
    <t>Donald</t>
  </si>
  <si>
    <t>Bugs</t>
  </si>
  <si>
    <t>Daffy</t>
  </si>
  <si>
    <t>Elmer</t>
  </si>
  <si>
    <t>Elmo</t>
  </si>
  <si>
    <t>Grover</t>
  </si>
  <si>
    <t>Standard or Holiday Bonus? --&gt;</t>
  </si>
  <si>
    <t>Pear Company Sales - February 2015</t>
  </si>
  <si>
    <t>Monthly Goal:</t>
  </si>
  <si>
    <t>Sales Person</t>
  </si>
  <si>
    <t>Week 1</t>
  </si>
  <si>
    <t>Week 2</t>
  </si>
  <si>
    <t>Week 3</t>
  </si>
  <si>
    <t>Week 4</t>
  </si>
  <si>
    <t>Totals</t>
  </si>
  <si>
    <t>Was Goal Met?</t>
  </si>
  <si>
    <t>Bonus Status</t>
  </si>
  <si>
    <t>S. Sam</t>
  </si>
  <si>
    <t>E. Brown</t>
  </si>
  <si>
    <t>W. Dani</t>
  </si>
  <si>
    <t>M. Mayer</t>
  </si>
  <si>
    <t>S. Sandberg</t>
  </si>
  <si>
    <t>A. John</t>
  </si>
  <si>
    <t>Order Details for 2014</t>
  </si>
  <si>
    <t>Order ID</t>
  </si>
  <si>
    <t>Order Date</t>
  </si>
  <si>
    <t>Customer ID</t>
  </si>
  <si>
    <t>Customer Name</t>
  </si>
  <si>
    <t>Address</t>
  </si>
  <si>
    <t>City</t>
  </si>
  <si>
    <t>State</t>
  </si>
  <si>
    <t>ZIP/Postal Code</t>
  </si>
  <si>
    <t>Country/Region</t>
  </si>
  <si>
    <t>Salesperson</t>
  </si>
  <si>
    <t>Region</t>
  </si>
  <si>
    <t>Shipped Date</t>
  </si>
  <si>
    <t>Shipper Name</t>
  </si>
  <si>
    <t>Ship Name</t>
  </si>
  <si>
    <t>Ship Address</t>
  </si>
  <si>
    <t>Ship City</t>
  </si>
  <si>
    <t>Ship State</t>
  </si>
  <si>
    <t>Ship ZIP/Postal Code</t>
  </si>
  <si>
    <t>Ship Country/Region</t>
  </si>
  <si>
    <t>Payment Type</t>
  </si>
  <si>
    <t>Product Name</t>
  </si>
  <si>
    <t>Category</t>
  </si>
  <si>
    <t>Unit Price</t>
  </si>
  <si>
    <t>Quantity</t>
  </si>
  <si>
    <t>Revenue</t>
  </si>
  <si>
    <t>Shipping Fee</t>
  </si>
  <si>
    <t>Company AA</t>
  </si>
  <si>
    <t>789 27th Street</t>
  </si>
  <si>
    <t>Las Vegas</t>
  </si>
  <si>
    <t>NV</t>
  </si>
  <si>
    <t>USA</t>
  </si>
  <si>
    <t>Mariya Sergienko</t>
  </si>
  <si>
    <t>West</t>
  </si>
  <si>
    <t>Shipping Company B</t>
  </si>
  <si>
    <t>Karen Toh</t>
  </si>
  <si>
    <t>Check</t>
  </si>
  <si>
    <t>Beer</t>
  </si>
  <si>
    <t>Beverages</t>
  </si>
  <si>
    <t>Dried Plums</t>
  </si>
  <si>
    <t>Dried Fruit &amp; Nuts</t>
  </si>
  <si>
    <t>Company D</t>
  </si>
  <si>
    <t>123 4th Street</t>
  </si>
  <si>
    <t>New York</t>
  </si>
  <si>
    <t>NY</t>
  </si>
  <si>
    <t>Andrew Cencini</t>
  </si>
  <si>
    <t>East</t>
  </si>
  <si>
    <t>Shipping Company A</t>
  </si>
  <si>
    <t>Christina Lee</t>
  </si>
  <si>
    <t>Credit Card</t>
  </si>
  <si>
    <t>Dried Pears</t>
  </si>
  <si>
    <t>Dried Apples</t>
  </si>
  <si>
    <t>Company L</t>
  </si>
  <si>
    <t>123 12th Street</t>
  </si>
  <si>
    <t>John Edwards</t>
  </si>
  <si>
    <t>Chai</t>
  </si>
  <si>
    <t>Coffee</t>
  </si>
  <si>
    <t>Company H</t>
  </si>
  <si>
    <t>123 8th Street</t>
  </si>
  <si>
    <t>Portland</t>
  </si>
  <si>
    <t>OR</t>
  </si>
  <si>
    <t>Nancy Freehafer</t>
  </si>
  <si>
    <t>North</t>
  </si>
  <si>
    <t>Shipping Company C</t>
  </si>
  <si>
    <t>Elizabeth Andersen</t>
  </si>
  <si>
    <t>Chocolate Biscuits Mix</t>
  </si>
  <si>
    <t>Baked Goods &amp; Mixes</t>
  </si>
  <si>
    <t>Company CC</t>
  </si>
  <si>
    <t>789 29th Street</t>
  </si>
  <si>
    <t>Denver</t>
  </si>
  <si>
    <t>CO</t>
  </si>
  <si>
    <t>Jan Kotas</t>
  </si>
  <si>
    <t>Soo Jung Lee</t>
  </si>
  <si>
    <t>Chocolate</t>
  </si>
  <si>
    <t>Candy</t>
  </si>
  <si>
    <t>Company C</t>
  </si>
  <si>
    <t>123 3rd Street</t>
  </si>
  <si>
    <t>Los Angelas</t>
  </si>
  <si>
    <t>CA</t>
  </si>
  <si>
    <t>Thomas Axerr</t>
  </si>
  <si>
    <t>Cash</t>
  </si>
  <si>
    <t>Clam Chowder</t>
  </si>
  <si>
    <t>Soups</t>
  </si>
  <si>
    <t>Company F</t>
  </si>
  <si>
    <t>123 6th Street</t>
  </si>
  <si>
    <t>Milwaukee</t>
  </si>
  <si>
    <t>WI</t>
  </si>
  <si>
    <t>Michael Neipper</t>
  </si>
  <si>
    <t>Francisco Pérez-Olaeta</t>
  </si>
  <si>
    <t>Curry Sauce</t>
  </si>
  <si>
    <t>Sauces</t>
  </si>
  <si>
    <t>Company BB</t>
  </si>
  <si>
    <t>789 28th Street</t>
  </si>
  <si>
    <t>Memphis</t>
  </si>
  <si>
    <t>TN</t>
  </si>
  <si>
    <t>Anne Larsen</t>
  </si>
  <si>
    <t>South</t>
  </si>
  <si>
    <t>Amritansh Raghav</t>
  </si>
  <si>
    <t>Company J</t>
  </si>
  <si>
    <t>123 10th Street</t>
  </si>
  <si>
    <t>Chicago</t>
  </si>
  <si>
    <t>IL</t>
  </si>
  <si>
    <t>Laura Giussani</t>
  </si>
  <si>
    <t>Roland Wacker</t>
  </si>
  <si>
    <t>Green Tea</t>
  </si>
  <si>
    <t>Company G</t>
  </si>
  <si>
    <t>123 7th Street</t>
  </si>
  <si>
    <t>Boise</t>
  </si>
  <si>
    <t>ID</t>
  </si>
  <si>
    <t>Ming-Yang Xie</t>
  </si>
  <si>
    <t>Boysenberry Spread</t>
  </si>
  <si>
    <t>Jams, Preserves</t>
  </si>
  <si>
    <t>Cajun Seasoning</t>
  </si>
  <si>
    <t>Condiments</t>
  </si>
  <si>
    <t>Company K</t>
  </si>
  <si>
    <t>123 11th Street</t>
  </si>
  <si>
    <t>Miami</t>
  </si>
  <si>
    <t>FL</t>
  </si>
  <si>
    <t>Peter Krschne</t>
  </si>
  <si>
    <t>Company A</t>
  </si>
  <si>
    <t>123 1st Street</t>
  </si>
  <si>
    <t>Seattle</t>
  </si>
  <si>
    <t>WA</t>
  </si>
  <si>
    <t>Anna Bedecs</t>
  </si>
  <si>
    <t>Crab Meat</t>
  </si>
  <si>
    <t>Canned Meat</t>
  </si>
  <si>
    <t>Company I</t>
  </si>
  <si>
    <t>123 9th Street</t>
  </si>
  <si>
    <t>Salt Lake City</t>
  </si>
  <si>
    <t>UT</t>
  </si>
  <si>
    <t>Robert Zare</t>
  </si>
  <si>
    <t>Sven Mortensen</t>
  </si>
  <si>
    <t>Ravioli</t>
  </si>
  <si>
    <t>Pasta</t>
  </si>
  <si>
    <t>Mozzarella</t>
  </si>
  <si>
    <t>Dairy Products</t>
  </si>
  <si>
    <t>Syrup</t>
  </si>
  <si>
    <t>Almonds</t>
  </si>
  <si>
    <t>Company Y</t>
  </si>
  <si>
    <t>789 25th Street</t>
  </si>
  <si>
    <t>John Rodman</t>
  </si>
  <si>
    <t>Company Z</t>
  </si>
  <si>
    <t>789 26th Street</t>
  </si>
  <si>
    <t>Run Liu</t>
  </si>
  <si>
    <t>Fruit Cocktail</t>
  </si>
  <si>
    <t>Fruit &amp; Veg</t>
  </si>
  <si>
    <t>Gnocchi</t>
  </si>
  <si>
    <t>Scones</t>
  </si>
  <si>
    <t>Olive Oil</t>
  </si>
  <si>
    <t>Oil</t>
  </si>
  <si>
    <t>Marmalade</t>
  </si>
  <si>
    <t>Long Grain Rice</t>
  </si>
  <si>
    <t>Grains</t>
  </si>
  <si>
    <t>Order Details for December 2014</t>
  </si>
  <si>
    <t>Books and Beyond, Inc.</t>
  </si>
  <si>
    <t>Payroll for the period ending</t>
  </si>
  <si>
    <t>FIRST</t>
  </si>
  <si>
    <t>LAST</t>
  </si>
  <si>
    <t>EMP#</t>
  </si>
  <si>
    <t>DIVISION</t>
  </si>
  <si>
    <t>DEPT</t>
  </si>
  <si>
    <t>HIRE DATE</t>
  </si>
  <si>
    <t>BEN</t>
  </si>
  <si>
    <t>HRS</t>
  </si>
  <si>
    <t>HOURLY RATE</t>
  </si>
  <si>
    <t>GROSS PAY</t>
  </si>
  <si>
    <t>FT/PT</t>
  </si>
  <si>
    <t>Year of Hire</t>
  </si>
  <si>
    <t>Month &amp; Year</t>
  </si>
  <si>
    <t>Sara</t>
  </si>
  <si>
    <t>Kling</t>
  </si>
  <si>
    <t>GW29</t>
  </si>
  <si>
    <t>Germany</t>
  </si>
  <si>
    <t>Art</t>
  </si>
  <si>
    <t>R</t>
  </si>
  <si>
    <t>Sean</t>
  </si>
  <si>
    <t>Willis</t>
  </si>
  <si>
    <t>GBW09</t>
  </si>
  <si>
    <t>Great Britain</t>
  </si>
  <si>
    <t>D</t>
  </si>
  <si>
    <t>Colleen</t>
  </si>
  <si>
    <t>Abel</t>
  </si>
  <si>
    <t>CW58</t>
  </si>
  <si>
    <t>Canada</t>
  </si>
  <si>
    <t>DRH</t>
  </si>
  <si>
    <t>Teri</t>
  </si>
  <si>
    <t>Binga</t>
  </si>
  <si>
    <t>AW55</t>
  </si>
  <si>
    <t>Australia</t>
  </si>
  <si>
    <t>RH</t>
  </si>
  <si>
    <t>Culbert</t>
  </si>
  <si>
    <t>GBC07</t>
  </si>
  <si>
    <t>Children's</t>
  </si>
  <si>
    <t>Kristen</t>
  </si>
  <si>
    <t>DeVinney</t>
  </si>
  <si>
    <t>GBS45</t>
  </si>
  <si>
    <t>Science</t>
  </si>
  <si>
    <t>Theresa</t>
  </si>
  <si>
    <t>Califano</t>
  </si>
  <si>
    <t>CW19</t>
  </si>
  <si>
    <t>Barry</t>
  </si>
  <si>
    <t>Bally</t>
  </si>
  <si>
    <t>GC04</t>
  </si>
  <si>
    <t>Cheryl</t>
  </si>
  <si>
    <t>Halal</t>
  </si>
  <si>
    <t>CA26</t>
  </si>
  <si>
    <t>History</t>
  </si>
  <si>
    <t>DR</t>
  </si>
  <si>
    <t>Harry</t>
  </si>
  <si>
    <t>Swayne</t>
  </si>
  <si>
    <t>GC25</t>
  </si>
  <si>
    <t>Shing</t>
  </si>
  <si>
    <t>Chen</t>
  </si>
  <si>
    <t>GBC05</t>
  </si>
  <si>
    <t>Seth</t>
  </si>
  <si>
    <t>Rose</t>
  </si>
  <si>
    <t>CC76</t>
  </si>
  <si>
    <t>Bob</t>
  </si>
  <si>
    <t>Ambrose</t>
  </si>
  <si>
    <t>GW14</t>
  </si>
  <si>
    <t>DH</t>
  </si>
  <si>
    <t>Chris</t>
  </si>
  <si>
    <t>Hume</t>
  </si>
  <si>
    <t>GBS59</t>
  </si>
  <si>
    <t>Robert</t>
  </si>
  <si>
    <t>Murray</t>
  </si>
  <si>
    <t>GBW47</t>
  </si>
  <si>
    <t>James</t>
  </si>
  <si>
    <t>Rich</t>
  </si>
  <si>
    <t>GBC11</t>
  </si>
  <si>
    <t>George</t>
  </si>
  <si>
    <t>Gorski</t>
  </si>
  <si>
    <t>CA18</t>
  </si>
  <si>
    <t>H</t>
  </si>
  <si>
    <t>Paul</t>
  </si>
  <si>
    <t>Hoffman</t>
  </si>
  <si>
    <t>GBS57</t>
  </si>
  <si>
    <t>Dean</t>
  </si>
  <si>
    <t>Kramer</t>
  </si>
  <si>
    <t>AC49</t>
  </si>
  <si>
    <t>Carol</t>
  </si>
  <si>
    <t>Hill</t>
  </si>
  <si>
    <t>GW18</t>
  </si>
  <si>
    <t>Julia</t>
  </si>
  <si>
    <t>GBA19</t>
  </si>
  <si>
    <t>Jacqueline</t>
  </si>
  <si>
    <t>Banks</t>
  </si>
  <si>
    <t>AS03</t>
  </si>
  <si>
    <t>Jeffrey</t>
  </si>
  <si>
    <t>Strong</t>
  </si>
  <si>
    <t>GW04</t>
  </si>
  <si>
    <t>Jeri Lynn</t>
  </si>
  <si>
    <t>MacFall</t>
  </si>
  <si>
    <t>AW07</t>
  </si>
  <si>
    <t>Sung</t>
  </si>
  <si>
    <t>Kim</t>
  </si>
  <si>
    <t>GA49</t>
  </si>
  <si>
    <t>Theodore</t>
  </si>
  <si>
    <t>Ness</t>
  </si>
  <si>
    <t>CA80</t>
  </si>
  <si>
    <t>Brad</t>
  </si>
  <si>
    <t>Hinkelman</t>
  </si>
  <si>
    <t>GW15</t>
  </si>
  <si>
    <t>Cuffaro</t>
  </si>
  <si>
    <t>GBC08</t>
  </si>
  <si>
    <t>Reese</t>
  </si>
  <si>
    <t>CS15</t>
  </si>
  <si>
    <t>Joanne</t>
  </si>
  <si>
    <t>Parker</t>
  </si>
  <si>
    <t>AW09</t>
  </si>
  <si>
    <t>Susan</t>
  </si>
  <si>
    <t>Drake</t>
  </si>
  <si>
    <t>GBA34</t>
  </si>
  <si>
    <t>GBC29</t>
  </si>
  <si>
    <t>Laura</t>
  </si>
  <si>
    <t>Reagan</t>
  </si>
  <si>
    <t>GBW77</t>
  </si>
  <si>
    <t>Brian</t>
  </si>
  <si>
    <t>GS40</t>
  </si>
  <si>
    <t>Mary</t>
  </si>
  <si>
    <t>Barber</t>
  </si>
  <si>
    <t>GW32</t>
  </si>
  <si>
    <t>Peter</t>
  </si>
  <si>
    <t>Allen</t>
  </si>
  <si>
    <t>AW24</t>
  </si>
  <si>
    <t>Altman</t>
  </si>
  <si>
    <t>GC12</t>
  </si>
  <si>
    <t>Fred</t>
  </si>
  <si>
    <t>Mallory</t>
  </si>
  <si>
    <t>CA06</t>
  </si>
  <si>
    <t>Molly</t>
  </si>
  <si>
    <t>Steadman</t>
  </si>
  <si>
    <t>GBC65</t>
  </si>
  <si>
    <t>Greg</t>
  </si>
  <si>
    <t>Connors</t>
  </si>
  <si>
    <t>GBC49</t>
  </si>
  <si>
    <t>Kathy</t>
  </si>
  <si>
    <t>Mayron</t>
  </si>
  <si>
    <t>GBA29</t>
  </si>
  <si>
    <t>Bill</t>
  </si>
  <si>
    <t>GS07</t>
  </si>
  <si>
    <t>Michael</t>
  </si>
  <si>
    <t>Richardson</t>
  </si>
  <si>
    <t>GBA28</t>
  </si>
  <si>
    <t>Melanie</t>
  </si>
  <si>
    <t>Bowers</t>
  </si>
  <si>
    <t>AA35</t>
  </si>
  <si>
    <t>Kyle</t>
  </si>
  <si>
    <t>Earnhart</t>
  </si>
  <si>
    <t>GBS16</t>
  </si>
  <si>
    <t>Lance</t>
  </si>
  <si>
    <t>Davies</t>
  </si>
  <si>
    <t>GBC64</t>
  </si>
  <si>
    <t>Anne</t>
  </si>
  <si>
    <t>Davidson</t>
  </si>
  <si>
    <t>CC23</t>
  </si>
  <si>
    <t>Doug</t>
  </si>
  <si>
    <t>Briscoll</t>
  </si>
  <si>
    <t>CA40</t>
  </si>
  <si>
    <t>Feldsott</t>
  </si>
  <si>
    <t>GW37</t>
  </si>
  <si>
    <t>Steve</t>
  </si>
  <si>
    <t>Singer</t>
  </si>
  <si>
    <t>AS29</t>
  </si>
  <si>
    <t>Tucker</t>
  </si>
  <si>
    <t>GBA14</t>
  </si>
  <si>
    <t>Henry</t>
  </si>
  <si>
    <t>Paterson</t>
  </si>
  <si>
    <t>GC20</t>
  </si>
  <si>
    <t>Brooks</t>
  </si>
  <si>
    <t>Hillen</t>
  </si>
  <si>
    <t>GBA21</t>
  </si>
  <si>
    <t>Dominick</t>
  </si>
  <si>
    <t>Mazza</t>
  </si>
  <si>
    <t>GBC09</t>
  </si>
  <si>
    <t>Jennifer</t>
  </si>
  <si>
    <t>Snyder</t>
  </si>
  <si>
    <t>CW30</t>
  </si>
  <si>
    <t>Joshua</t>
  </si>
  <si>
    <t>Maccaluso</t>
  </si>
  <si>
    <t>AW69</t>
  </si>
  <si>
    <t>Wheeler</t>
  </si>
  <si>
    <t>GBW05</t>
  </si>
  <si>
    <t>Todd</t>
  </si>
  <si>
    <t>Masters</t>
  </si>
  <si>
    <t>GBS69</t>
  </si>
  <si>
    <t>Karina</t>
  </si>
  <si>
    <t>GW30</t>
  </si>
  <si>
    <t>Edward</t>
  </si>
  <si>
    <t>Trelly</t>
  </si>
  <si>
    <t>AC27</t>
  </si>
  <si>
    <t>Christina</t>
  </si>
  <si>
    <t>Lillie</t>
  </si>
  <si>
    <t>GBA24</t>
  </si>
  <si>
    <t>Lewis</t>
  </si>
  <si>
    <t>AW58</t>
  </si>
  <si>
    <t>Jerry</t>
  </si>
  <si>
    <t>McDonald</t>
  </si>
  <si>
    <t>GA08</t>
  </si>
  <si>
    <t>Lynne</t>
  </si>
  <si>
    <t>Simmons</t>
  </si>
  <si>
    <t>AC17</t>
  </si>
  <si>
    <t>Lindsey</t>
  </si>
  <si>
    <t>Winger</t>
  </si>
  <si>
    <t>AA25</t>
  </si>
  <si>
    <t>Reed</t>
  </si>
  <si>
    <t>CW03</t>
  </si>
  <si>
    <t>Paula</t>
  </si>
  <si>
    <t>Robinson</t>
  </si>
  <si>
    <t>GA23</t>
  </si>
  <si>
    <t>William</t>
  </si>
  <si>
    <t>GBW66</t>
  </si>
  <si>
    <t>Shirley</t>
  </si>
  <si>
    <t>Dandrow</t>
  </si>
  <si>
    <t>CC45</t>
  </si>
  <si>
    <t>GS54</t>
  </si>
  <si>
    <t>Switzer</t>
  </si>
  <si>
    <t>GC26</t>
  </si>
  <si>
    <t>John</t>
  </si>
  <si>
    <t>Jacobs</t>
  </si>
  <si>
    <t>GA27</t>
  </si>
  <si>
    <t>Bradley</t>
  </si>
  <si>
    <t>GBW12</t>
  </si>
  <si>
    <t>Frieda</t>
  </si>
  <si>
    <t>AA02</t>
  </si>
  <si>
    <t>Holly</t>
  </si>
  <si>
    <t>Taylor</t>
  </si>
  <si>
    <t>GC07</t>
  </si>
  <si>
    <t>Tim</t>
  </si>
  <si>
    <t>Barthoff</t>
  </si>
  <si>
    <t>GW47</t>
  </si>
  <si>
    <t>Esther</t>
  </si>
  <si>
    <t>Williams</t>
  </si>
  <si>
    <t>AW39</t>
  </si>
  <si>
    <t>CS79</t>
  </si>
  <si>
    <t>Marianne</t>
  </si>
  <si>
    <t>Calvin</t>
  </si>
  <si>
    <t>AS23</t>
  </si>
  <si>
    <t>Sue</t>
  </si>
  <si>
    <t>Petty</t>
  </si>
  <si>
    <t>GW11</t>
  </si>
  <si>
    <t>Grace</t>
  </si>
  <si>
    <t>Sloan</t>
  </si>
  <si>
    <t>AS12</t>
  </si>
  <si>
    <t>Richard</t>
  </si>
  <si>
    <t>Gibbs</t>
  </si>
  <si>
    <t>GC24</t>
  </si>
  <si>
    <t>Lorrie</t>
  </si>
  <si>
    <t>Sullivan</t>
  </si>
  <si>
    <t>AW04</t>
  </si>
  <si>
    <t>Ted</t>
  </si>
  <si>
    <t>Hayes</t>
  </si>
  <si>
    <t>GBA33</t>
  </si>
  <si>
    <t>Helen</t>
  </si>
  <si>
    <t>Stewart</t>
  </si>
  <si>
    <t>GA57</t>
  </si>
  <si>
    <t>CS32</t>
  </si>
  <si>
    <t>Jane</t>
  </si>
  <si>
    <t>Winters</t>
  </si>
  <si>
    <t>GBA23</t>
  </si>
  <si>
    <t>Martin</t>
  </si>
  <si>
    <t>GC02</t>
  </si>
  <si>
    <t>Geoff</t>
  </si>
  <si>
    <t>Brown</t>
  </si>
  <si>
    <t>GBA48</t>
  </si>
  <si>
    <t>Alice</t>
  </si>
  <si>
    <t>Owens</t>
  </si>
  <si>
    <t>AW48</t>
  </si>
  <si>
    <t>Thomas</t>
  </si>
  <si>
    <t>AC53</t>
  </si>
  <si>
    <t>Sam</t>
  </si>
  <si>
    <t>Whitney</t>
  </si>
  <si>
    <t>GS09</t>
  </si>
  <si>
    <t>Erin</t>
  </si>
  <si>
    <t>AA70</t>
  </si>
  <si>
    <t>Amy</t>
  </si>
  <si>
    <t>Tooley</t>
  </si>
  <si>
    <t>AW59</t>
  </si>
  <si>
    <t>x</t>
  </si>
  <si>
    <t>Number</t>
  </si>
  <si>
    <t>Other Useful Text Functions</t>
  </si>
  <si>
    <t>123-45-67</t>
  </si>
  <si>
    <t>Before</t>
  </si>
  <si>
    <t>After</t>
  </si>
  <si>
    <t>Try it!</t>
  </si>
  <si>
    <t>Full Name:</t>
  </si>
  <si>
    <t>Left</t>
  </si>
  <si>
    <t>Mid</t>
  </si>
  <si>
    <t>Right</t>
  </si>
  <si>
    <t>1122-334-12</t>
  </si>
  <si>
    <t>`=Proper()</t>
  </si>
  <si>
    <t>faz karim</t>
  </si>
  <si>
    <t>444-123-321</t>
  </si>
  <si>
    <t>`=Upper()</t>
  </si>
  <si>
    <t>22-1-111</t>
  </si>
  <si>
    <t>`=Lower()</t>
  </si>
  <si>
    <t>FAZ KARIM</t>
  </si>
  <si>
    <t>1010-11-33</t>
  </si>
  <si>
    <t>Nevertheless</t>
  </si>
  <si>
    <t>22-33-55</t>
  </si>
  <si>
    <t>Sindole</t>
  </si>
  <si>
    <t>May</t>
  </si>
  <si>
    <t>June</t>
  </si>
  <si>
    <t>July</t>
  </si>
  <si>
    <t>Aug.</t>
  </si>
  <si>
    <t>Sept.</t>
  </si>
  <si>
    <t>Oct.</t>
  </si>
  <si>
    <t>Albertson, Kathy</t>
  </si>
  <si>
    <t>Allenson, Carol</t>
  </si>
  <si>
    <t>Altman, Zoey</t>
  </si>
  <si>
    <t>Bittiman, William</t>
  </si>
  <si>
    <t>Brennan, Michael</t>
  </si>
  <si>
    <t>Carlson, David</t>
  </si>
  <si>
    <t>Collman, Harry</t>
  </si>
  <si>
    <t>Counts, Elizabeth</t>
  </si>
  <si>
    <t>David, Chloe</t>
  </si>
  <si>
    <t>Davis, William</t>
  </si>
  <si>
    <t>Dumlao, Richard</t>
  </si>
  <si>
    <t>Farmer, Kim</t>
  </si>
  <si>
    <t>Ferguson, Elizabeth</t>
  </si>
  <si>
    <t>Flores, Tia</t>
  </si>
  <si>
    <t>Ford, Victor</t>
  </si>
  <si>
    <t>Hodges, Melissa</t>
  </si>
  <si>
    <t>Jameson, Robinson</t>
  </si>
  <si>
    <t>Kellerman, Frances</t>
  </si>
  <si>
    <t>Mark, Katharine</t>
  </si>
  <si>
    <t>Morrison, Thomas</t>
  </si>
  <si>
    <t>Moss, Pete</t>
  </si>
  <si>
    <t>Paul, Henry David</t>
  </si>
  <si>
    <t>Post, Melissa</t>
  </si>
  <si>
    <t>Robinson, Betty</t>
  </si>
  <si>
    <t>Shadow, Elizabeth</t>
  </si>
  <si>
    <t>Smith, Harold</t>
  </si>
  <si>
    <t>Thomas, Robert</t>
  </si>
  <si>
    <t>Thompson, Shannon</t>
  </si>
  <si>
    <t>Walters, Chris</t>
  </si>
  <si>
    <t>Zimmerman, Kate</t>
  </si>
  <si>
    <t>Sales Figures</t>
  </si>
  <si>
    <t>R.Smith</t>
  </si>
  <si>
    <t>H. James</t>
  </si>
  <si>
    <t>S.O'Brian</t>
  </si>
  <si>
    <t>L. Carrie</t>
  </si>
  <si>
    <t>K. Dunn</t>
  </si>
  <si>
    <t>Pear Records Sales</t>
  </si>
  <si>
    <t>FY 2014</t>
  </si>
  <si>
    <t>Genre</t>
  </si>
  <si>
    <t>1st Qtr</t>
  </si>
  <si>
    <t>2nd Qtr</t>
  </si>
  <si>
    <t>3rd Qtr</t>
  </si>
  <si>
    <t>4th Qtr</t>
  </si>
  <si>
    <t>Country</t>
  </si>
  <si>
    <t>Jazz</t>
  </si>
  <si>
    <t>Pop</t>
  </si>
  <si>
    <t>Rock</t>
  </si>
  <si>
    <t>Rap</t>
  </si>
  <si>
    <t xml:space="preserve">INDEX and MATCH with Multiple Criteria </t>
  </si>
  <si>
    <t>Item</t>
  </si>
  <si>
    <t>Size</t>
  </si>
  <si>
    <t>Color</t>
  </si>
  <si>
    <t>Price</t>
  </si>
  <si>
    <t>T-Shirt</t>
  </si>
  <si>
    <t>Small</t>
  </si>
  <si>
    <t>Red</t>
  </si>
  <si>
    <t>Medium</t>
  </si>
  <si>
    <t>Blue</t>
  </si>
  <si>
    <t>Large</t>
  </si>
  <si>
    <t>Hoodie</t>
  </si>
  <si>
    <t>Gray</t>
  </si>
  <si>
    <t>Black</t>
  </si>
  <si>
    <t>X-Large</t>
  </si>
  <si>
    <r>
      <t>Sales</t>
    </r>
    <r>
      <rPr>
        <sz val="10"/>
        <color rgb="FF393939"/>
        <rFont val="Segoe UI Semibold"/>
        <family val="2"/>
      </rPr>
      <t> </t>
    </r>
  </si>
  <si>
    <r>
      <t>Car</t>
    </r>
    <r>
      <rPr>
        <sz val="10"/>
        <color rgb="FF393939"/>
        <rFont val="Segoe UI Semibold"/>
        <family val="2"/>
      </rPr>
      <t> </t>
    </r>
  </si>
  <si>
    <r>
      <t>Number</t>
    </r>
    <r>
      <rPr>
        <sz val="10"/>
        <color rgb="FF393939"/>
        <rFont val="Segoe UI Semibold"/>
        <family val="2"/>
      </rPr>
      <t> </t>
    </r>
  </si>
  <si>
    <r>
      <t>Unit</t>
    </r>
    <r>
      <rPr>
        <sz val="10"/>
        <color rgb="FF393939"/>
        <rFont val="Segoe UI Semibold"/>
        <family val="2"/>
      </rPr>
      <t> </t>
    </r>
  </si>
  <si>
    <r>
      <t>Total</t>
    </r>
    <r>
      <rPr>
        <sz val="10"/>
        <color rgb="FF393939"/>
        <rFont val="Segoe UI Semibold"/>
        <family val="2"/>
      </rPr>
      <t> </t>
    </r>
  </si>
  <si>
    <t xml:space="preserve">Practice </t>
  </si>
  <si>
    <t>Person</t>
  </si>
  <si>
    <t>Type</t>
  </si>
  <si>
    <t>Sold</t>
  </si>
  <si>
    <t>Barnhill</t>
  </si>
  <si>
    <t>Sedan</t>
  </si>
  <si>
    <t>Coupe</t>
  </si>
  <si>
    <t>Ingle</t>
  </si>
  <si>
    <t>Jordan</t>
  </si>
  <si>
    <t>Pica</t>
  </si>
  <si>
    <t>Sanchez</t>
  </si>
  <si>
    <t>Formula (Grand Total)</t>
  </si>
  <si>
    <t>Grand Total</t>
  </si>
  <si>
    <t>Days</t>
  </si>
  <si>
    <t>Units</t>
  </si>
  <si>
    <t>Daily</t>
  </si>
  <si>
    <t>&lt;== The error in this cell is hidden</t>
  </si>
  <si>
    <t>Ontario</t>
  </si>
  <si>
    <t>Ann</t>
  </si>
  <si>
    <t>Ben</t>
  </si>
  <si>
    <t>Quebec</t>
  </si>
  <si>
    <t>Cam</t>
  </si>
  <si>
    <t>Dan</t>
  </si>
  <si>
    <t>Date</t>
  </si>
  <si>
    <t>Cost</t>
  </si>
  <si>
    <t>Total</t>
  </si>
  <si>
    <t xml:space="preserve">Pear Creamery Sales </t>
  </si>
  <si>
    <t>Month</t>
  </si>
  <si>
    <t>Year</t>
  </si>
  <si>
    <t>January</t>
  </si>
  <si>
    <t>Ice Cream</t>
  </si>
  <si>
    <t>Bishop</t>
  </si>
  <si>
    <t>Frozen Yogurt</t>
  </si>
  <si>
    <t>Pullen</t>
  </si>
  <si>
    <t>Central</t>
  </si>
  <si>
    <t>Tasty Treats</t>
  </si>
  <si>
    <t>Watson</t>
  </si>
  <si>
    <t>Popsicles</t>
  </si>
  <si>
    <r>
      <t>`=MOD(ROW(),12)=0</t>
    </r>
    <r>
      <rPr>
        <sz val="7"/>
        <color rgb="FF111111"/>
        <rFont val="Arial"/>
        <family val="2"/>
      </rPr>
      <t xml:space="preserve"> ... for anything divisible by 12 with no remainder (e.g. 12, 24, 36...</t>
    </r>
  </si>
  <si>
    <t>February</t>
  </si>
  <si>
    <r>
      <t>`=MOD(COLUMN(),2)=0</t>
    </r>
    <r>
      <rPr>
        <sz val="7"/>
        <color rgb="FF111111"/>
        <rFont val="Arial"/>
        <family val="2"/>
      </rPr>
      <t xml:space="preserve"> ... for even numbered COLUMNS</t>
    </r>
  </si>
  <si>
    <t>March</t>
  </si>
  <si>
    <t>April</t>
  </si>
  <si>
    <t>August</t>
  </si>
  <si>
    <t>September</t>
  </si>
  <si>
    <t>October</t>
  </si>
  <si>
    <t>November</t>
  </si>
  <si>
    <t>December</t>
  </si>
  <si>
    <t>Pear Company</t>
  </si>
  <si>
    <t>Monthly Phone Sales</t>
  </si>
  <si>
    <t>Run Date:</t>
  </si>
  <si>
    <t>Ran By:</t>
  </si>
  <si>
    <t>J. Johnson</t>
  </si>
  <si>
    <t>K. Rein</t>
  </si>
  <si>
    <t>A. Paoli</t>
  </si>
  <si>
    <t>L. Harrington</t>
  </si>
  <si>
    <t>O. Quincet</t>
  </si>
  <si>
    <t>E. Windham</t>
  </si>
  <si>
    <t>I. Bainbridge</t>
  </si>
  <si>
    <t>V. Nesbit</t>
  </si>
  <si>
    <t>F. Vanders</t>
  </si>
  <si>
    <t>S. Halsey</t>
  </si>
  <si>
    <t>J. Mancera</t>
  </si>
  <si>
    <t>G. Hicks</t>
  </si>
  <si>
    <t>L. McNair</t>
  </si>
  <si>
    <t>C. Gipson</t>
  </si>
  <si>
    <t>K. Wright</t>
  </si>
  <si>
    <t>Row Labels</t>
  </si>
  <si>
    <t>Sum of Revenue</t>
  </si>
  <si>
    <t>(All)</t>
  </si>
  <si>
    <t>Sum of Bonus</t>
  </si>
  <si>
    <t>Team 2</t>
  </si>
  <si>
    <t>Team 3</t>
  </si>
  <si>
    <t>Team 4</t>
  </si>
  <si>
    <t>Team 1</t>
  </si>
  <si>
    <t>% of Total</t>
  </si>
  <si>
    <t>`=MOD(ROW(),2)=1 .... for ODD numbered rows instead of even</t>
  </si>
  <si>
    <t xml:space="preserve">`=MOD(ROW(),5)=0 ... for all the "fives &amp; tens" </t>
  </si>
  <si>
    <t>Average</t>
  </si>
  <si>
    <t>Faz karim</t>
  </si>
  <si>
    <t>Learn it!</t>
  </si>
  <si>
    <t>FK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</si>
</sst>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8" formatCode="&quot;$&quot;#,##0.00_);[Red]\(&quot;$&quot;#,##0.00\)"/>
    <numFmt numFmtId="44" formatCode="_(&quot;$&quot;* #,##0.00_);_(&quot;$&quot;* \(#,##0.00\);_(&quot;$&quot;* &quot;-&quot;??_);_(@_)"/>
    <numFmt numFmtId="164" formatCode="dd\-mmm\-yy"/>
    <numFmt numFmtId="165" formatCode="&quot;$&quot;#,##0.00"/>
    <numFmt numFmtId="166" formatCode="_(&quot;$&quot;* #,##0_);_(&quot;$&quot;* \(#,##0\);_(&quot;$&quot;* &quot;-&quot;??_);_(@_)"/>
    <numFmt numFmtId="167" formatCode="&quot;$&quot;#,##0"/>
    <numFmt numFmtId="168" formatCode="0.00_);[Red]\(0.00\)"/>
    <numFmt numFmtId="169" formatCode="mm/dd/yy;@"/>
    <numFmt numFmtId="170" formatCode="d\-mmm\-yyyy"/>
    <numFmt numFmtId="171" formatCode="[$-409]mmmm\ yyyy;@"/>
  </numFmts>
  <fonts count="4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b/>
      <sz val="11"/>
      <color rgb="FF3F3F3F"/>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5"/>
      <color theme="0"/>
      <name val="Calibri"/>
      <family val="2"/>
      <scheme val="minor"/>
    </font>
    <font>
      <sz val="10"/>
      <name val="Arial"/>
      <family val="2"/>
    </font>
    <font>
      <sz val="11"/>
      <name val="Calibri"/>
      <family val="2"/>
      <scheme val="minor"/>
    </font>
    <font>
      <b/>
      <sz val="11"/>
      <color rgb="FF3F3F76"/>
      <name val="Calibri"/>
      <family val="2"/>
      <scheme val="minor"/>
    </font>
    <font>
      <sz val="10"/>
      <color indexed="8"/>
      <name val="Arial"/>
      <family val="2"/>
    </font>
    <font>
      <sz val="11"/>
      <color indexed="8"/>
      <name val="Calibri"/>
      <family val="2"/>
      <scheme val="minor"/>
    </font>
    <font>
      <b/>
      <sz val="18"/>
      <color theme="3"/>
      <name val="Calibri Light"/>
      <family val="1"/>
      <scheme val="major"/>
    </font>
    <font>
      <b/>
      <sz val="15"/>
      <color theme="0"/>
      <name val="Calibri Light"/>
      <family val="1"/>
      <scheme val="major"/>
    </font>
    <font>
      <b/>
      <sz val="12"/>
      <name val="Calibri"/>
      <family val="2"/>
      <scheme val="minor"/>
    </font>
    <font>
      <b/>
      <sz val="11"/>
      <name val="Calibri"/>
      <family val="2"/>
      <scheme val="minor"/>
    </font>
    <font>
      <b/>
      <sz val="14"/>
      <color theme="1"/>
      <name val="Calibri"/>
      <family val="2"/>
      <scheme val="minor"/>
    </font>
    <font>
      <b/>
      <u/>
      <sz val="12"/>
      <name val="Arial"/>
      <family val="2"/>
    </font>
    <font>
      <i/>
      <sz val="10"/>
      <name val="Arial"/>
      <family val="2"/>
    </font>
    <font>
      <b/>
      <sz val="10"/>
      <name val="Arial"/>
      <family val="2"/>
    </font>
    <font>
      <b/>
      <sz val="10"/>
      <color indexed="81"/>
      <name val="Calibri"/>
      <family val="2"/>
    </font>
    <font>
      <u/>
      <sz val="11"/>
      <name val="Calibri"/>
      <family val="2"/>
      <scheme val="minor"/>
    </font>
    <font>
      <b/>
      <sz val="12"/>
      <color theme="0"/>
      <name val="Calibri"/>
      <family val="2"/>
      <scheme val="minor"/>
    </font>
    <font>
      <sz val="12"/>
      <name val="Calibri"/>
      <family val="2"/>
      <scheme val="minor"/>
    </font>
    <font>
      <sz val="11"/>
      <color theme="5"/>
      <name val="Calibri"/>
      <family val="2"/>
      <scheme val="minor"/>
    </font>
    <font>
      <b/>
      <sz val="18"/>
      <color theme="3"/>
      <name val="Calibri Light"/>
      <family val="2"/>
      <scheme val="major"/>
    </font>
    <font>
      <b/>
      <sz val="10"/>
      <color rgb="FF393939"/>
      <name val="Segoe UI"/>
      <family val="2"/>
    </font>
    <font>
      <sz val="10"/>
      <color rgb="FF393939"/>
      <name val="Segoe UI Semibold"/>
      <family val="2"/>
    </font>
    <font>
      <sz val="10"/>
      <color rgb="FF2F2F2F"/>
      <name val="Segoe UI"/>
      <family val="2"/>
    </font>
    <font>
      <sz val="8"/>
      <color rgb="FF363636"/>
      <name val="Segoe UI"/>
      <family val="2"/>
    </font>
    <font>
      <b/>
      <sz val="10"/>
      <color rgb="FF2F2F2F"/>
      <name val="Segoe UI"/>
      <family val="2"/>
    </font>
    <font>
      <b/>
      <sz val="10"/>
      <color indexed="12"/>
      <name val="Arial"/>
      <family val="2"/>
    </font>
    <font>
      <u/>
      <sz val="11"/>
      <color indexed="12"/>
      <name val="Calibri"/>
      <family val="2"/>
      <scheme val="minor"/>
    </font>
    <font>
      <u/>
      <sz val="10"/>
      <color theme="10"/>
      <name val="Arial"/>
      <family val="2"/>
    </font>
    <font>
      <sz val="25.5"/>
      <color rgb="FF333333"/>
      <name val="Arial"/>
      <family val="2"/>
    </font>
    <font>
      <sz val="10"/>
      <name val="MS Sans Serif"/>
      <family val="2"/>
    </font>
    <font>
      <b/>
      <u/>
      <sz val="12"/>
      <name val="MS Sans Serif"/>
      <family val="2"/>
    </font>
    <font>
      <sz val="12"/>
      <name val="MS Sans Serif"/>
      <family val="2"/>
    </font>
    <font>
      <sz val="12"/>
      <name val="MS Sans Serif"/>
    </font>
    <font>
      <sz val="7"/>
      <color rgb="FF111111"/>
      <name val="Arial"/>
      <family val="2"/>
    </font>
  </fonts>
  <fills count="28">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39997558519241921"/>
        <bgColor indexed="65"/>
      </patternFill>
    </fill>
    <fill>
      <patternFill patternType="solid">
        <fgColor theme="8" tint="0.59999389629810485"/>
        <bgColor indexed="65"/>
      </patternFill>
    </fill>
    <fill>
      <patternFill patternType="solid">
        <fgColor theme="9"/>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bgColor indexed="8"/>
      </patternFill>
    </fill>
    <fill>
      <patternFill patternType="solid">
        <fgColor rgb="FFDADADA"/>
        <bgColor indexed="64"/>
      </patternFill>
    </fill>
    <fill>
      <patternFill patternType="solid">
        <fgColor theme="0" tint="-0.249977111117893"/>
        <bgColor indexed="64"/>
      </patternFill>
    </fill>
    <fill>
      <patternFill patternType="solid">
        <fgColor rgb="FFF4F4F4"/>
        <bgColor indexed="64"/>
      </patternFill>
    </fill>
    <fill>
      <patternFill patternType="solid">
        <fgColor rgb="FFFFFFFF"/>
        <bgColor indexed="64"/>
      </patternFill>
    </fill>
    <fill>
      <patternFill patternType="solid">
        <fgColor rgb="FFFFFF00"/>
        <bgColor indexed="6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style="medium">
        <color auto="1"/>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style="double">
        <color rgb="FF3F3F3F"/>
      </right>
      <top/>
      <bottom/>
      <diagonal/>
    </border>
    <border>
      <left/>
      <right/>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auto="1"/>
      </left>
      <right style="thin">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rgb="FFCCCCCC"/>
      </top>
      <bottom/>
      <diagonal/>
    </border>
    <border>
      <left/>
      <right/>
      <top/>
      <bottom style="medium">
        <color rgb="FFCCCCCC"/>
      </bottom>
      <diagonal/>
    </border>
  </borders>
  <cellStyleXfs count="35">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4" applyNumberFormat="0" applyAlignment="0" applyProtection="0"/>
    <xf numFmtId="0" fontId="7" fillId="3" borderId="5" applyNumberFormat="0" applyAlignment="0" applyProtection="0"/>
    <xf numFmtId="0" fontId="8" fillId="4" borderId="6" applyNumberFormat="0" applyAlignment="0" applyProtection="0"/>
    <xf numFmtId="0" fontId="10" fillId="6" borderId="0" applyNumberFormat="0" applyBorder="0" applyAlignment="0" applyProtection="0"/>
    <xf numFmtId="0" fontId="1" fillId="7" borderId="0" applyNumberFormat="0" applyBorder="0" applyAlignment="0" applyProtection="0"/>
    <xf numFmtId="0" fontId="10" fillId="10" borderId="0" applyNumberFormat="0" applyBorder="0" applyAlignment="0" applyProtection="0"/>
    <xf numFmtId="0" fontId="10" fillId="16" borderId="0" applyNumberFormat="0" applyBorder="0" applyAlignment="0" applyProtection="0"/>
    <xf numFmtId="0" fontId="12" fillId="0" borderId="0"/>
    <xf numFmtId="0" fontId="10" fillId="9" borderId="0" applyNumberFormat="0" applyBorder="0" applyAlignment="0" applyProtection="0"/>
    <xf numFmtId="0" fontId="15" fillId="0" borderId="0"/>
    <xf numFmtId="44" fontId="12" fillId="0" borderId="0" applyFont="0" applyFill="0" applyBorder="0" applyAlignment="0" applyProtection="0"/>
    <xf numFmtId="0" fontId="12" fillId="0" borderId="0"/>
    <xf numFmtId="0" fontId="1" fillId="15" borderId="0" applyNumberFormat="0" applyBorder="0" applyAlignment="0" applyProtection="0"/>
    <xf numFmtId="0" fontId="1" fillId="13" borderId="0" applyNumberFormat="0" applyBorder="0" applyAlignment="0" applyProtection="0"/>
    <xf numFmtId="0" fontId="1" fillId="12" borderId="0" applyNumberFormat="0" applyBorder="0" applyAlignment="0" applyProtection="0"/>
    <xf numFmtId="0" fontId="1" fillId="11" borderId="0" applyNumberFormat="0" applyBorder="0" applyAlignment="0" applyProtection="0"/>
    <xf numFmtId="0" fontId="1" fillId="0" borderId="0"/>
    <xf numFmtId="44" fontId="1" fillId="0" borderId="0" applyFont="0" applyFill="0" applyBorder="0" applyAlignment="0" applyProtection="0"/>
    <xf numFmtId="0" fontId="12" fillId="0" borderId="0"/>
    <xf numFmtId="0" fontId="1" fillId="14" borderId="0" applyNumberFormat="0" applyBorder="0" applyAlignment="0" applyProtection="0"/>
    <xf numFmtId="0" fontId="1" fillId="5" borderId="7" applyNumberFormat="0" applyFont="0" applyAlignment="0" applyProtection="0"/>
    <xf numFmtId="0" fontId="37" fillId="0" borderId="0" applyNumberFormat="0" applyFill="0" applyBorder="0" applyAlignment="0" applyProtection="0">
      <alignment horizontal="left" indent="1"/>
    </xf>
    <xf numFmtId="0" fontId="38" fillId="0" borderId="0" applyNumberFormat="0" applyFill="0" applyBorder="0" applyAlignment="0" applyProtection="0"/>
    <xf numFmtId="0" fontId="12" fillId="0" borderId="0"/>
    <xf numFmtId="0" fontId="40" fillId="0" borderId="0"/>
    <xf numFmtId="0" fontId="12" fillId="5" borderId="7" applyNumberFormat="0" applyFont="0" applyAlignment="0" applyProtection="0"/>
    <xf numFmtId="0" fontId="12" fillId="0" borderId="0"/>
    <xf numFmtId="9" fontId="12" fillId="0" borderId="0" applyFont="0" applyFill="0" applyBorder="0" applyAlignment="0" applyProtection="0"/>
  </cellStyleXfs>
  <cellXfs count="156">
    <xf numFmtId="0" fontId="0" fillId="0" borderId="0" xfId="0"/>
    <xf numFmtId="0" fontId="13" fillId="0" borderId="0" xfId="14" applyFont="1"/>
    <xf numFmtId="0" fontId="13" fillId="0" borderId="0" xfId="14" quotePrefix="1" applyFont="1"/>
    <xf numFmtId="0" fontId="9" fillId="9" borderId="8" xfId="15" applyFont="1" applyBorder="1" applyAlignment="1">
      <alignment horizontal="center" vertical="center"/>
    </xf>
    <xf numFmtId="0" fontId="14" fillId="2" borderId="4" xfId="7" applyFont="1" applyAlignment="1">
      <alignment horizontal="center" vertical="center" wrapText="1"/>
    </xf>
    <xf numFmtId="0" fontId="16" fillId="0" borderId="8" xfId="16" applyFont="1" applyBorder="1" applyAlignment="1">
      <alignment horizontal="center" vertical="center" wrapText="1"/>
    </xf>
    <xf numFmtId="164" fontId="16" fillId="0" borderId="8" xfId="16" applyNumberFormat="1" applyFont="1" applyBorder="1" applyAlignment="1">
      <alignment horizontal="center" vertical="center" wrapText="1"/>
    </xf>
    <xf numFmtId="44" fontId="13" fillId="0" borderId="8" xfId="17" applyFont="1" applyBorder="1"/>
    <xf numFmtId="0" fontId="18" fillId="6" borderId="9" xfId="10" applyFont="1" applyBorder="1" applyAlignment="1">
      <alignment horizontal="center"/>
    </xf>
    <xf numFmtId="0" fontId="13" fillId="0" borderId="13" xfId="14" applyFont="1" applyBorder="1"/>
    <xf numFmtId="0" fontId="13" fillId="0" borderId="14" xfId="14" applyFont="1" applyBorder="1" applyAlignment="1">
      <alignment horizontal="right"/>
    </xf>
    <xf numFmtId="0" fontId="13" fillId="0" borderId="14" xfId="14" applyFont="1" applyBorder="1"/>
    <xf numFmtId="0" fontId="13" fillId="0" borderId="15" xfId="14" applyFont="1" applyBorder="1" applyAlignment="1">
      <alignment horizontal="center"/>
    </xf>
    <xf numFmtId="0" fontId="13" fillId="0" borderId="8" xfId="14" applyFont="1" applyBorder="1" applyAlignment="1">
      <alignment horizontal="center"/>
    </xf>
    <xf numFmtId="0" fontId="13" fillId="0" borderId="8" xfId="14" applyFont="1" applyBorder="1" applyAlignment="1">
      <alignment horizontal="right"/>
    </xf>
    <xf numFmtId="0" fontId="8" fillId="4" borderId="6" xfId="9"/>
    <xf numFmtId="0" fontId="13" fillId="0" borderId="0" xfId="14" applyFont="1" applyAlignment="1">
      <alignment horizontal="right"/>
    </xf>
    <xf numFmtId="0" fontId="13" fillId="0" borderId="0" xfId="18" applyFont="1"/>
    <xf numFmtId="0" fontId="4" fillId="0" borderId="2" xfId="4" applyAlignment="1">
      <alignment horizontal="right"/>
    </xf>
    <xf numFmtId="165" fontId="9" fillId="15" borderId="9" xfId="19" applyNumberFormat="1" applyFont="1" applyBorder="1"/>
    <xf numFmtId="0" fontId="9" fillId="13" borderId="3" xfId="5" applyFont="1" applyFill="1" applyAlignment="1">
      <alignment horizontal="center"/>
    </xf>
    <xf numFmtId="0" fontId="9" fillId="13" borderId="18" xfId="20" applyFont="1" applyBorder="1" applyAlignment="1">
      <alignment horizontal="center"/>
    </xf>
    <xf numFmtId="0" fontId="9" fillId="12" borderId="18" xfId="21" applyFont="1" applyBorder="1" applyAlignment="1">
      <alignment horizontal="center"/>
    </xf>
    <xf numFmtId="0" fontId="9" fillId="8" borderId="19" xfId="6" applyFont="1" applyFill="1" applyBorder="1" applyAlignment="1">
      <alignment horizontal="right"/>
    </xf>
    <xf numFmtId="166" fontId="13" fillId="0" borderId="8" xfId="17" applyNumberFormat="1" applyFont="1" applyBorder="1" applyAlignment="1">
      <alignment horizontal="left"/>
    </xf>
    <xf numFmtId="167" fontId="20" fillId="0" borderId="20" xfId="17" applyNumberFormat="1" applyFont="1" applyBorder="1" applyAlignment="1">
      <alignment horizontal="center"/>
    </xf>
    <xf numFmtId="168" fontId="7" fillId="3" borderId="5" xfId="8" applyNumberFormat="1" applyAlignment="1">
      <alignment horizontal="center"/>
    </xf>
    <xf numFmtId="167" fontId="7" fillId="3" borderId="5" xfId="8" applyNumberFormat="1" applyAlignment="1">
      <alignment horizontal="center"/>
    </xf>
    <xf numFmtId="0" fontId="9" fillId="8" borderId="21" xfId="6" applyFont="1" applyFill="1" applyBorder="1" applyAlignment="1">
      <alignment horizontal="right"/>
    </xf>
    <xf numFmtId="166" fontId="13" fillId="0" borderId="22" xfId="17" applyNumberFormat="1" applyFont="1" applyBorder="1" applyAlignment="1">
      <alignment horizontal="left"/>
    </xf>
    <xf numFmtId="0" fontId="9" fillId="8" borderId="23" xfId="6" applyFont="1" applyFill="1" applyBorder="1" applyAlignment="1">
      <alignment horizontal="right"/>
    </xf>
    <xf numFmtId="166" fontId="13" fillId="0" borderId="24" xfId="17" applyNumberFormat="1" applyFont="1" applyBorder="1" applyAlignment="1">
      <alignment horizontal="left"/>
    </xf>
    <xf numFmtId="0" fontId="21" fillId="0" borderId="0" xfId="0" applyFont="1"/>
    <xf numFmtId="0" fontId="9" fillId="17" borderId="0" xfId="0" applyFont="1" applyFill="1"/>
    <xf numFmtId="169" fontId="0" fillId="0" borderId="0" xfId="0" applyNumberFormat="1"/>
    <xf numFmtId="165" fontId="0" fillId="0" borderId="0" xfId="0" applyNumberFormat="1"/>
    <xf numFmtId="165" fontId="0" fillId="0" borderId="0" xfId="1" applyNumberFormat="1" applyFont="1"/>
    <xf numFmtId="0" fontId="21" fillId="0" borderId="0" xfId="23" applyFont="1"/>
    <xf numFmtId="0" fontId="1" fillId="0" borderId="0" xfId="23"/>
    <xf numFmtId="0" fontId="9" fillId="17" borderId="0" xfId="23" applyFont="1" applyFill="1"/>
    <xf numFmtId="169" fontId="1" fillId="0" borderId="0" xfId="23" applyNumberFormat="1"/>
    <xf numFmtId="165" fontId="0" fillId="0" borderId="0" xfId="24" applyNumberFormat="1" applyFont="1"/>
    <xf numFmtId="165" fontId="1" fillId="0" borderId="0" xfId="23" applyNumberFormat="1"/>
    <xf numFmtId="165" fontId="9" fillId="0" borderId="0" xfId="24" applyNumberFormat="1" applyFont="1"/>
    <xf numFmtId="0" fontId="22" fillId="0" borderId="0" xfId="25" applyFont="1" applyAlignment="1">
      <alignment horizontal="centerContinuous"/>
    </xf>
    <xf numFmtId="0" fontId="12" fillId="0" borderId="0" xfId="25" applyAlignment="1">
      <alignment horizontal="centerContinuous"/>
    </xf>
    <xf numFmtId="0" fontId="12" fillId="0" borderId="0" xfId="25"/>
    <xf numFmtId="0" fontId="23" fillId="0" borderId="0" xfId="25" applyFont="1"/>
    <xf numFmtId="170" fontId="12" fillId="0" borderId="0" xfId="25" applyNumberFormat="1"/>
    <xf numFmtId="0" fontId="24" fillId="0" borderId="25" xfId="25" applyFont="1" applyBorder="1"/>
    <xf numFmtId="0" fontId="24" fillId="0" borderId="25" xfId="25" applyFont="1" applyBorder="1" applyAlignment="1">
      <alignment horizontal="center"/>
    </xf>
    <xf numFmtId="0" fontId="24" fillId="0" borderId="25" xfId="25" applyFont="1" applyBorder="1" applyAlignment="1">
      <alignment wrapText="1"/>
    </xf>
    <xf numFmtId="0" fontId="24" fillId="18" borderId="25" xfId="25" applyFont="1" applyFill="1" applyBorder="1" applyAlignment="1">
      <alignment wrapText="1"/>
    </xf>
    <xf numFmtId="0" fontId="24" fillId="19" borderId="25" xfId="25" applyFont="1" applyFill="1" applyBorder="1" applyAlignment="1">
      <alignment wrapText="1"/>
    </xf>
    <xf numFmtId="0" fontId="24" fillId="20" borderId="25" xfId="25" applyFont="1" applyFill="1" applyBorder="1" applyAlignment="1">
      <alignment wrapText="1"/>
    </xf>
    <xf numFmtId="14" fontId="12" fillId="0" borderId="0" xfId="25" applyNumberFormat="1"/>
    <xf numFmtId="0" fontId="12" fillId="0" borderId="0" xfId="25" applyAlignment="1">
      <alignment horizontal="center"/>
    </xf>
    <xf numFmtId="165" fontId="12" fillId="0" borderId="0" xfId="25" applyNumberFormat="1"/>
    <xf numFmtId="0" fontId="12" fillId="18" borderId="0" xfId="25" applyFill="1"/>
    <xf numFmtId="0" fontId="12" fillId="19" borderId="0" xfId="25" applyFill="1"/>
    <xf numFmtId="0" fontId="12" fillId="20" borderId="0" xfId="25" applyFill="1"/>
    <xf numFmtId="4" fontId="12" fillId="0" borderId="0" xfId="25" applyNumberFormat="1"/>
    <xf numFmtId="0" fontId="26" fillId="21" borderId="26" xfId="14" applyFont="1" applyFill="1" applyBorder="1"/>
    <xf numFmtId="0" fontId="13" fillId="21" borderId="27" xfId="14" applyFont="1" applyFill="1" applyBorder="1"/>
    <xf numFmtId="0" fontId="13" fillId="21" borderId="28" xfId="14" applyFont="1" applyFill="1" applyBorder="1"/>
    <xf numFmtId="0" fontId="26" fillId="21" borderId="27" xfId="14" applyFont="1" applyFill="1" applyBorder="1"/>
    <xf numFmtId="0" fontId="26" fillId="21" borderId="28" xfId="14" applyFont="1" applyFill="1" applyBorder="1"/>
    <xf numFmtId="0" fontId="27" fillId="6" borderId="8" xfId="10" applyFont="1" applyBorder="1" applyAlignment="1">
      <alignment horizontal="center" vertical="center"/>
    </xf>
    <xf numFmtId="0" fontId="13" fillId="21" borderId="29" xfId="14" applyFont="1" applyFill="1" applyBorder="1"/>
    <xf numFmtId="0" fontId="13" fillId="21" borderId="0" xfId="14" applyFont="1" applyFill="1"/>
    <xf numFmtId="0" fontId="13" fillId="21" borderId="30" xfId="14" applyFont="1" applyFill="1" applyBorder="1"/>
    <xf numFmtId="0" fontId="16" fillId="22" borderId="8" xfId="16" applyFont="1" applyFill="1" applyBorder="1" applyAlignment="1">
      <alignment horizontal="center" vertical="center" wrapText="1"/>
    </xf>
    <xf numFmtId="0" fontId="3" fillId="0" borderId="8" xfId="3" applyBorder="1" applyAlignment="1">
      <alignment horizontal="center" vertical="center"/>
    </xf>
    <xf numFmtId="0" fontId="27" fillId="10" borderId="8" xfId="12" applyFont="1" applyBorder="1" applyAlignment="1">
      <alignment horizontal="center" vertical="center"/>
    </xf>
    <xf numFmtId="0" fontId="13" fillId="21" borderId="30" xfId="14" applyFont="1" applyFill="1" applyBorder="1" applyAlignment="1">
      <alignment horizontal="center"/>
    </xf>
    <xf numFmtId="0" fontId="27" fillId="16" borderId="29" xfId="13" applyFont="1" applyBorder="1" applyAlignment="1">
      <alignment horizontal="center"/>
    </xf>
    <xf numFmtId="0" fontId="27" fillId="16" borderId="0" xfId="13" applyFont="1" applyAlignment="1">
      <alignment horizontal="center"/>
    </xf>
    <xf numFmtId="0" fontId="27" fillId="16" borderId="30" xfId="13" applyFont="1" applyBorder="1" applyAlignment="1">
      <alignment horizontal="center"/>
    </xf>
    <xf numFmtId="0" fontId="13" fillId="5" borderId="7" xfId="27" applyFont="1" applyAlignment="1">
      <alignment horizontal="center" vertical="center"/>
    </xf>
    <xf numFmtId="0" fontId="6" fillId="2" borderId="4" xfId="7"/>
    <xf numFmtId="0" fontId="7" fillId="3" borderId="5" xfId="8"/>
    <xf numFmtId="0" fontId="29" fillId="21" borderId="8" xfId="14" applyFont="1" applyFill="1" applyBorder="1"/>
    <xf numFmtId="0" fontId="3" fillId="21" borderId="1" xfId="3" applyFill="1" applyAlignment="1">
      <alignment horizontal="center"/>
    </xf>
    <xf numFmtId="0" fontId="13" fillId="21" borderId="31" xfId="14" applyFont="1" applyFill="1" applyBorder="1"/>
    <xf numFmtId="0" fontId="13" fillId="21" borderId="32" xfId="14" applyFont="1" applyFill="1" applyBorder="1"/>
    <xf numFmtId="0" fontId="13" fillId="21" borderId="33" xfId="14" applyFont="1" applyFill="1" applyBorder="1"/>
    <xf numFmtId="0" fontId="0" fillId="0" borderId="0" xfId="0" applyAlignment="1">
      <alignment horizontal="left"/>
    </xf>
    <xf numFmtId="165" fontId="0" fillId="0" borderId="0" xfId="0" applyNumberFormat="1" applyAlignment="1">
      <alignment horizontal="right"/>
    </xf>
    <xf numFmtId="0" fontId="9" fillId="0" borderId="0" xfId="0" applyFont="1"/>
    <xf numFmtId="0" fontId="5" fillId="0" borderId="3" xfId="5"/>
    <xf numFmtId="167" fontId="13" fillId="0" borderId="0" xfId="18" applyNumberFormat="1" applyFont="1"/>
    <xf numFmtId="0" fontId="5" fillId="0" borderId="0" xfId="6"/>
    <xf numFmtId="0" fontId="2" fillId="0" borderId="0" xfId="2"/>
    <xf numFmtId="0" fontId="12" fillId="0" borderId="0" xfId="18"/>
    <xf numFmtId="0" fontId="1" fillId="7" borderId="1" xfId="11" applyBorder="1"/>
    <xf numFmtId="8" fontId="12" fillId="0" borderId="0" xfId="18" applyNumberFormat="1"/>
    <xf numFmtId="0" fontId="1" fillId="7" borderId="8" xfId="11" applyBorder="1"/>
    <xf numFmtId="0" fontId="12" fillId="0" borderId="8" xfId="18" applyBorder="1"/>
    <xf numFmtId="8" fontId="12" fillId="0" borderId="8" xfId="18" applyNumberFormat="1" applyBorder="1"/>
    <xf numFmtId="0" fontId="31" fillId="23" borderId="34" xfId="18" applyFont="1" applyFill="1" applyBorder="1" applyAlignment="1">
      <alignment vertical="center" wrapText="1"/>
    </xf>
    <xf numFmtId="0" fontId="31" fillId="23" borderId="0" xfId="18" applyFont="1" applyFill="1" applyAlignment="1">
      <alignment vertical="center" wrapText="1"/>
    </xf>
    <xf numFmtId="0" fontId="33" fillId="25" borderId="0" xfId="18" applyFont="1" applyFill="1" applyAlignment="1">
      <alignment vertical="center" wrapText="1"/>
    </xf>
    <xf numFmtId="2" fontId="33" fillId="25" borderId="0" xfId="18" applyNumberFormat="1" applyFont="1" applyFill="1" applyAlignment="1">
      <alignment vertical="center" wrapText="1"/>
    </xf>
    <xf numFmtId="0" fontId="34" fillId="25" borderId="0" xfId="18" applyFont="1" applyFill="1" applyAlignment="1">
      <alignment vertical="top" wrapText="1"/>
    </xf>
    <xf numFmtId="0" fontId="34" fillId="26" borderId="0" xfId="18" applyFont="1" applyFill="1" applyAlignment="1">
      <alignment vertical="top" wrapText="1"/>
    </xf>
    <xf numFmtId="0" fontId="33" fillId="26" borderId="0" xfId="18" applyFont="1" applyFill="1" applyAlignment="1">
      <alignment vertical="center" wrapText="1"/>
    </xf>
    <xf numFmtId="2" fontId="33" fillId="26" borderId="0" xfId="18" applyNumberFormat="1" applyFont="1" applyFill="1" applyAlignment="1">
      <alignment vertical="center" wrapText="1"/>
    </xf>
    <xf numFmtId="0" fontId="35" fillId="25" borderId="0" xfId="18" applyFont="1" applyFill="1" applyAlignment="1">
      <alignment vertical="center" wrapText="1"/>
    </xf>
    <xf numFmtId="0" fontId="33" fillId="26" borderId="35" xfId="18" applyFont="1" applyFill="1" applyBorder="1" applyAlignment="1">
      <alignment vertical="center" wrapText="1"/>
    </xf>
    <xf numFmtId="0" fontId="34" fillId="26" borderId="35" xfId="18" applyFont="1" applyFill="1" applyBorder="1" applyAlignment="1">
      <alignment vertical="top" wrapText="1"/>
    </xf>
    <xf numFmtId="0" fontId="12" fillId="26" borderId="35" xfId="18" applyFill="1" applyBorder="1"/>
    <xf numFmtId="0" fontId="36" fillId="0" borderId="0" xfId="18" applyFont="1" applyAlignment="1">
      <alignment horizontal="center"/>
    </xf>
    <xf numFmtId="0" fontId="37" fillId="0" borderId="0" xfId="28" applyAlignment="1"/>
    <xf numFmtId="0" fontId="38" fillId="0" borderId="0" xfId="29"/>
    <xf numFmtId="0" fontId="24" fillId="0" borderId="0" xfId="18" applyFont="1" applyAlignment="1">
      <alignment horizontal="center"/>
    </xf>
    <xf numFmtId="14" fontId="12" fillId="0" borderId="0" xfId="18" applyNumberFormat="1"/>
    <xf numFmtId="0" fontId="39" fillId="0" borderId="0" xfId="0" applyFont="1" applyAlignment="1">
      <alignment vertical="center"/>
    </xf>
    <xf numFmtId="0" fontId="30" fillId="0" borderId="0" xfId="2" applyFont="1"/>
    <xf numFmtId="0" fontId="13" fillId="0" borderId="0" xfId="30" applyFont="1"/>
    <xf numFmtId="0" fontId="40" fillId="0" borderId="0" xfId="31"/>
    <xf numFmtId="0" fontId="4" fillId="0" borderId="2" xfId="4"/>
    <xf numFmtId="167" fontId="4" fillId="0" borderId="2" xfId="4" applyNumberFormat="1"/>
    <xf numFmtId="0" fontId="41" fillId="0" borderId="0" xfId="31" applyFont="1" applyAlignment="1">
      <alignment horizontal="center"/>
    </xf>
    <xf numFmtId="0" fontId="42" fillId="0" borderId="0" xfId="31" applyFont="1"/>
    <xf numFmtId="14" fontId="13" fillId="0" borderId="0" xfId="30" applyNumberFormat="1" applyFont="1"/>
    <xf numFmtId="167" fontId="13" fillId="0" borderId="0" xfId="30" applyNumberFormat="1" applyFont="1"/>
    <xf numFmtId="1" fontId="13" fillId="0" borderId="0" xfId="30" applyNumberFormat="1" applyFont="1"/>
    <xf numFmtId="0" fontId="43" fillId="0" borderId="0" xfId="31" applyFont="1" applyAlignment="1">
      <alignment horizontal="center"/>
    </xf>
    <xf numFmtId="0" fontId="44" fillId="5" borderId="7" xfId="32" applyFont="1"/>
    <xf numFmtId="0" fontId="12" fillId="0" borderId="0" xfId="33"/>
    <xf numFmtId="10" fontId="0" fillId="0" borderId="0" xfId="34" applyNumberFormat="1" applyFont="1"/>
    <xf numFmtId="0" fontId="13" fillId="0" borderId="0" xfId="25" applyFont="1"/>
    <xf numFmtId="167" fontId="13" fillId="0" borderId="0" xfId="25" applyNumberFormat="1" applyFont="1"/>
    <xf numFmtId="0" fontId="0" fillId="0" borderId="0" xfId="0" pivotButton="1"/>
    <xf numFmtId="0" fontId="0" fillId="0" borderId="0" xfId="0" applyNumberFormat="1"/>
    <xf numFmtId="10" fontId="0" fillId="0" borderId="0" xfId="0" applyNumberFormat="1"/>
    <xf numFmtId="0" fontId="12" fillId="27" borderId="0" xfId="18" applyFill="1" applyAlignment="1">
      <alignment horizontal="center"/>
    </xf>
    <xf numFmtId="167" fontId="20" fillId="0" borderId="0" xfId="18" applyNumberFormat="1" applyFont="1"/>
    <xf numFmtId="14" fontId="12" fillId="0" borderId="0" xfId="33" applyNumberFormat="1"/>
    <xf numFmtId="0" fontId="11" fillId="6" borderId="0" xfId="3" applyFont="1" applyFill="1" applyBorder="1" applyAlignment="1">
      <alignment horizontal="center" vertical="center"/>
    </xf>
    <xf numFmtId="0" fontId="11" fillId="6" borderId="1" xfId="3" applyFont="1" applyFill="1" applyAlignment="1">
      <alignment horizontal="center" vertical="center"/>
    </xf>
    <xf numFmtId="0" fontId="17" fillId="0" borderId="0" xfId="2" applyFont="1" applyAlignment="1">
      <alignment horizontal="center"/>
    </xf>
    <xf numFmtId="0" fontId="18" fillId="10" borderId="10" xfId="12" applyFont="1" applyBorder="1" applyAlignment="1">
      <alignment horizontal="center"/>
    </xf>
    <xf numFmtId="0" fontId="18" fillId="10" borderId="11" xfId="12" applyFont="1" applyBorder="1" applyAlignment="1">
      <alignment horizontal="center"/>
    </xf>
    <xf numFmtId="0" fontId="18" fillId="10" borderId="12" xfId="12" applyFont="1" applyBorder="1" applyAlignment="1">
      <alignment horizontal="center"/>
    </xf>
    <xf numFmtId="0" fontId="19" fillId="0" borderId="0" xfId="14" applyFont="1" applyAlignment="1">
      <alignment horizontal="center"/>
    </xf>
    <xf numFmtId="0" fontId="19" fillId="0" borderId="16" xfId="14" applyFont="1" applyBorder="1" applyAlignment="1">
      <alignment horizontal="center"/>
    </xf>
    <xf numFmtId="0" fontId="12" fillId="0" borderId="0" xfId="33"/>
    <xf numFmtId="0" fontId="17" fillId="0" borderId="17" xfId="2" applyFont="1" applyBorder="1" applyAlignment="1">
      <alignment horizontal="center"/>
    </xf>
    <xf numFmtId="0" fontId="28" fillId="14" borderId="8" xfId="26" applyFont="1" applyBorder="1" applyAlignment="1">
      <alignment horizontal="center"/>
    </xf>
    <xf numFmtId="0" fontId="12" fillId="24" borderId="0" xfId="18" applyFill="1" applyAlignment="1">
      <alignment horizontal="center"/>
    </xf>
    <xf numFmtId="0" fontId="30" fillId="0" borderId="0" xfId="2" applyFont="1" applyAlignment="1">
      <alignment horizontal="center"/>
    </xf>
    <xf numFmtId="171" fontId="30" fillId="0" borderId="0" xfId="2" applyNumberFormat="1" applyFont="1" applyAlignment="1">
      <alignment horizontal="center"/>
    </xf>
    <xf numFmtId="14" fontId="5" fillId="0" borderId="0" xfId="6" applyNumberFormat="1"/>
    <xf numFmtId="0" fontId="1" fillId="7" borderId="0" xfId="11"/>
    <xf numFmtId="167" fontId="1" fillId="7" borderId="0" xfId="11" applyNumberFormat="1"/>
  </cellXfs>
  <cellStyles count="35">
    <cellStyle name="20% - Accent1" xfId="11" builtinId="30"/>
    <cellStyle name="20% - Accent3 2" xfId="22" xr:uid="{7D831B63-839D-4CE3-869A-7B7702707DC1}"/>
    <cellStyle name="20% - Accent4 2" xfId="20" xr:uid="{BB57F93F-A4CE-4E12-B977-393778B1087F}"/>
    <cellStyle name="40% - Accent3 2" xfId="21" xr:uid="{C4CB4A64-46F3-49F2-9E88-F0DD6B8C7865}"/>
    <cellStyle name="40% - Accent5 2" xfId="19" xr:uid="{6E4A452F-5EA4-4BCC-A88B-6E09F128B8E2}"/>
    <cellStyle name="60% - Accent1 2 2" xfId="15" xr:uid="{D15A1C9E-A919-421D-ACA3-79F7EFED9E9F}"/>
    <cellStyle name="60% - Accent4 2" xfId="26" xr:uid="{E09E8B13-E9B7-4209-80D0-BF67C067C45E}"/>
    <cellStyle name="Accent1" xfId="10" builtinId="29"/>
    <cellStyle name="Accent2" xfId="12" builtinId="33"/>
    <cellStyle name="Accent6" xfId="13" builtinId="49"/>
    <cellStyle name="Check Cell" xfId="9" builtinId="23"/>
    <cellStyle name="Ctx_Hyperlink" xfId="28" xr:uid="{830D1BFE-5BEE-4CF1-9F30-EC1BB893E25A}"/>
    <cellStyle name="Currency" xfId="1" builtinId="4"/>
    <cellStyle name="Currency 2" xfId="17" xr:uid="{6D906652-90BE-405B-AC66-0BA470CD9AB6}"/>
    <cellStyle name="Currency 2 2" xfId="24" xr:uid="{C0C89B0A-53C1-4D09-A6C1-D152D80E3CCB}"/>
    <cellStyle name="Heading 1" xfId="3" builtinId="16"/>
    <cellStyle name="Heading 2" xfId="4" builtinId="17"/>
    <cellStyle name="Heading 3" xfId="5" builtinId="18"/>
    <cellStyle name="Heading 4" xfId="6" builtinId="19"/>
    <cellStyle name="Hyperlink 2" xfId="29" xr:uid="{75BD3C91-FD22-4B4D-861B-8C21FC97E901}"/>
    <cellStyle name="Input" xfId="7" builtinId="20"/>
    <cellStyle name="Normal" xfId="0" builtinId="0"/>
    <cellStyle name="Normal 2" xfId="18" xr:uid="{49238AA9-F2A7-4454-8C5D-EA53367B2A06}"/>
    <cellStyle name="Normal 2 2" xfId="25" xr:uid="{A7EAB823-97B3-48B0-A1C9-B057AA20B11B}"/>
    <cellStyle name="Normal 2 3" xfId="33" xr:uid="{10C7E297-95AB-4185-B62F-382E3C35D4CF}"/>
    <cellStyle name="Normal 3" xfId="14" xr:uid="{47C62910-32C2-4B79-83CF-46E1412212AD}"/>
    <cellStyle name="Normal 3 2" xfId="23" xr:uid="{D4AB4BDB-786E-4270-AC13-4769AF1363A4}"/>
    <cellStyle name="Normal 4" xfId="30" xr:uid="{A41DEABA-0C33-4907-8E82-00E0C3CDA739}"/>
    <cellStyle name="Normal_EXCEL3-2" xfId="31" xr:uid="{EC4217D7-0D8E-4F4E-88DA-72E7DE9B77A8}"/>
    <cellStyle name="Normal_Sheet1_1" xfId="16" xr:uid="{E3505984-0CEF-4CEF-BBB4-F413019CA9B4}"/>
    <cellStyle name="Note 2" xfId="27" xr:uid="{62B3E508-D015-457B-836F-3F5FCDF22D42}"/>
    <cellStyle name="Note 3" xfId="32" xr:uid="{452472D6-38F4-4DE7-9103-260B562A12B2}"/>
    <cellStyle name="Output" xfId="8" builtinId="21"/>
    <cellStyle name="Percent 2" xfId="34" xr:uid="{7A09C626-B9A0-4DA9-A00B-C80F4DEC75DC}"/>
    <cellStyle name="Title" xfId="2" builtinId="15"/>
  </cellStyles>
  <dxfs count="18">
    <dxf>
      <font>
        <strike val="0"/>
        <outline val="0"/>
        <shadow val="0"/>
        <u val="none"/>
        <vertAlign val="baseline"/>
        <sz val="11"/>
        <color theme="1"/>
        <name val="Calibri"/>
        <scheme val="minor"/>
      </font>
      <numFmt numFmtId="165" formatCode="&quot;$&quot;#,##0.00"/>
    </dxf>
    <dxf>
      <font>
        <strike val="0"/>
        <outline val="0"/>
        <shadow val="0"/>
        <u val="none"/>
        <vertAlign val="baseline"/>
        <sz val="11"/>
        <color theme="1"/>
        <name val="Calibri"/>
        <scheme val="minor"/>
      </font>
      <numFmt numFmtId="165" formatCode="&quot;$&quot;#,##0.00"/>
    </dxf>
    <dxf>
      <font>
        <strike val="0"/>
        <outline val="0"/>
        <shadow val="0"/>
        <u val="none"/>
        <vertAlign val="baseline"/>
        <sz val="11"/>
        <color theme="1"/>
        <name val="Calibri"/>
        <scheme val="minor"/>
      </font>
      <numFmt numFmtId="165" formatCode="&quot;$&quot;#,##0.00"/>
    </dxf>
    <dxf>
      <font>
        <strike val="0"/>
        <outline val="0"/>
        <shadow val="0"/>
        <u val="none"/>
        <vertAlign val="baseline"/>
        <sz val="11"/>
        <color theme="1"/>
        <name val="Calibri"/>
        <scheme val="minor"/>
      </font>
      <numFmt numFmtId="165" formatCode="&quot;$&quot;#,##0.00"/>
    </dxf>
    <dxf>
      <font>
        <strike val="0"/>
        <outline val="0"/>
        <shadow val="0"/>
        <u val="none"/>
        <vertAlign val="baseline"/>
        <sz val="11"/>
        <color theme="1"/>
        <name val="Calibri"/>
        <scheme val="minor"/>
      </font>
      <numFmt numFmtId="165" formatCode="&quot;$&quot;#,##0.00"/>
    </dxf>
    <dxf>
      <font>
        <strike val="0"/>
        <outline val="0"/>
        <shadow val="0"/>
        <u val="none"/>
        <vertAlign val="baseline"/>
        <sz val="11"/>
        <color theme="1"/>
        <name val="Calibri"/>
        <scheme val="minor"/>
      </font>
      <numFmt numFmtId="165" formatCode="&quot;$&quot;#,##0.00"/>
      <alignment horizontal="right" vertical="bottom" textRotation="0" wrapText="0" indent="0" justifyLastLine="0" shrinkToFit="0" readingOrder="0"/>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alignment horizontal="left" vertical="bottom" textRotation="0" wrapText="0" indent="0" justifyLastLine="0" shrinkToFit="0" readingOrder="0"/>
    </dxf>
    <dxf>
      <fill>
        <patternFill>
          <bgColor rgb="FF00B050"/>
        </patternFill>
      </fill>
    </dxf>
    <dxf>
      <fill>
        <patternFill>
          <bgColor rgb="FF00B050"/>
        </patternFill>
      </fill>
    </dxf>
    <dxf>
      <font>
        <color theme="0"/>
      </font>
    </dxf>
    <dxf>
      <font>
        <color theme="0"/>
      </font>
    </dxf>
    <dxf>
      <numFmt numFmtId="165" formatCode="&quot;$&quot;#,##0.00"/>
    </dxf>
    <dxf>
      <font>
        <b val="0"/>
        <i val="0"/>
        <strike val="0"/>
        <condense val="0"/>
        <extend val="0"/>
        <outline val="0"/>
        <shadow val="0"/>
        <u val="none"/>
        <vertAlign val="baseline"/>
        <sz val="11"/>
        <color theme="1"/>
        <name val="Calibri"/>
        <family val="2"/>
        <scheme val="minor"/>
      </font>
      <numFmt numFmtId="165" formatCode="&quot;$&quot;#,##0.00"/>
    </dxf>
    <dxf>
      <numFmt numFmtId="169" formatCode="mm/dd/yy;@"/>
    </dxf>
    <dxf>
      <numFmt numFmtId="169" formatCode="mm/dd/yy;@"/>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'Charting 1'!$B$4</c:f>
              <c:strCache>
                <c:ptCount val="1"/>
                <c:pt idx="0">
                  <c:v>Week 1</c:v>
                </c:pt>
              </c:strCache>
            </c:strRef>
          </c:tx>
          <c:spPr>
            <a:solidFill>
              <a:schemeClr val="accent6">
                <a:shade val="53000"/>
              </a:schemeClr>
            </a:solidFill>
            <a:ln>
              <a:noFill/>
            </a:ln>
            <a:effectLst/>
          </c:spPr>
          <c:invertIfNegative val="0"/>
          <c:cat>
            <c:strRef>
              <c:f>'Charting 1'!$A$5:$A$9</c:f>
              <c:strCache>
                <c:ptCount val="5"/>
                <c:pt idx="0">
                  <c:v>R.Smith</c:v>
                </c:pt>
                <c:pt idx="1">
                  <c:v>H. James</c:v>
                </c:pt>
                <c:pt idx="2">
                  <c:v>S.O'Brian</c:v>
                </c:pt>
                <c:pt idx="3">
                  <c:v>L. Carrie</c:v>
                </c:pt>
                <c:pt idx="4">
                  <c:v>K. Dunn</c:v>
                </c:pt>
              </c:strCache>
            </c:strRef>
          </c:cat>
          <c:val>
            <c:numRef>
              <c:f>'Charting 1'!$B$5:$B$9</c:f>
              <c:numCache>
                <c:formatCode>"$"#,##0</c:formatCode>
                <c:ptCount val="5"/>
                <c:pt idx="0">
                  <c:v>4520</c:v>
                </c:pt>
                <c:pt idx="1">
                  <c:v>3220</c:v>
                </c:pt>
                <c:pt idx="2">
                  <c:v>4560</c:v>
                </c:pt>
                <c:pt idx="3">
                  <c:v>5600</c:v>
                </c:pt>
                <c:pt idx="4">
                  <c:v>2330</c:v>
                </c:pt>
              </c:numCache>
            </c:numRef>
          </c:val>
          <c:extLst>
            <c:ext xmlns:c16="http://schemas.microsoft.com/office/drawing/2014/chart" uri="{C3380CC4-5D6E-409C-BE32-E72D297353CC}">
              <c16:uniqueId val="{00000000-9F4A-4234-A76D-33F4FB7C9B2D}"/>
            </c:ext>
          </c:extLst>
        </c:ser>
        <c:ser>
          <c:idx val="1"/>
          <c:order val="1"/>
          <c:tx>
            <c:strRef>
              <c:f>'Charting 1'!$C$4</c:f>
              <c:strCache>
                <c:ptCount val="1"/>
                <c:pt idx="0">
                  <c:v>Week 2</c:v>
                </c:pt>
              </c:strCache>
            </c:strRef>
          </c:tx>
          <c:spPr>
            <a:solidFill>
              <a:schemeClr val="accent6">
                <a:shade val="76000"/>
              </a:schemeClr>
            </a:solidFill>
            <a:ln>
              <a:noFill/>
            </a:ln>
            <a:effectLst/>
          </c:spPr>
          <c:invertIfNegative val="0"/>
          <c:cat>
            <c:strRef>
              <c:f>'Charting 1'!$A$5:$A$9</c:f>
              <c:strCache>
                <c:ptCount val="5"/>
                <c:pt idx="0">
                  <c:v>R.Smith</c:v>
                </c:pt>
                <c:pt idx="1">
                  <c:v>H. James</c:v>
                </c:pt>
                <c:pt idx="2">
                  <c:v>S.O'Brian</c:v>
                </c:pt>
                <c:pt idx="3">
                  <c:v>L. Carrie</c:v>
                </c:pt>
                <c:pt idx="4">
                  <c:v>K. Dunn</c:v>
                </c:pt>
              </c:strCache>
            </c:strRef>
          </c:cat>
          <c:val>
            <c:numRef>
              <c:f>'Charting 1'!$C$5:$C$9</c:f>
              <c:numCache>
                <c:formatCode>"$"#,##0</c:formatCode>
                <c:ptCount val="5"/>
                <c:pt idx="0">
                  <c:v>3620</c:v>
                </c:pt>
                <c:pt idx="1">
                  <c:v>5230</c:v>
                </c:pt>
                <c:pt idx="2">
                  <c:v>2320</c:v>
                </c:pt>
                <c:pt idx="3">
                  <c:v>6510</c:v>
                </c:pt>
                <c:pt idx="4">
                  <c:v>4520</c:v>
                </c:pt>
              </c:numCache>
            </c:numRef>
          </c:val>
          <c:extLst>
            <c:ext xmlns:c16="http://schemas.microsoft.com/office/drawing/2014/chart" uri="{C3380CC4-5D6E-409C-BE32-E72D297353CC}">
              <c16:uniqueId val="{00000001-9F4A-4234-A76D-33F4FB7C9B2D}"/>
            </c:ext>
          </c:extLst>
        </c:ser>
        <c:ser>
          <c:idx val="2"/>
          <c:order val="2"/>
          <c:tx>
            <c:strRef>
              <c:f>'Charting 1'!$D$4</c:f>
              <c:strCache>
                <c:ptCount val="1"/>
                <c:pt idx="0">
                  <c:v>Week 3</c:v>
                </c:pt>
              </c:strCache>
            </c:strRef>
          </c:tx>
          <c:spPr>
            <a:solidFill>
              <a:schemeClr val="accent6"/>
            </a:solidFill>
            <a:ln>
              <a:noFill/>
            </a:ln>
            <a:effectLst/>
          </c:spPr>
          <c:invertIfNegative val="0"/>
          <c:cat>
            <c:strRef>
              <c:f>'Charting 1'!$A$5:$A$9</c:f>
              <c:strCache>
                <c:ptCount val="5"/>
                <c:pt idx="0">
                  <c:v>R.Smith</c:v>
                </c:pt>
                <c:pt idx="1">
                  <c:v>H. James</c:v>
                </c:pt>
                <c:pt idx="2">
                  <c:v>S.O'Brian</c:v>
                </c:pt>
                <c:pt idx="3">
                  <c:v>L. Carrie</c:v>
                </c:pt>
                <c:pt idx="4">
                  <c:v>K. Dunn</c:v>
                </c:pt>
              </c:strCache>
            </c:strRef>
          </c:cat>
          <c:val>
            <c:numRef>
              <c:f>'Charting 1'!$D$5:$D$9</c:f>
              <c:numCache>
                <c:formatCode>"$"#,##0</c:formatCode>
                <c:ptCount val="5"/>
                <c:pt idx="0">
                  <c:v>2560</c:v>
                </c:pt>
                <c:pt idx="1">
                  <c:v>4550</c:v>
                </c:pt>
                <c:pt idx="2">
                  <c:v>3220</c:v>
                </c:pt>
                <c:pt idx="3">
                  <c:v>5660</c:v>
                </c:pt>
                <c:pt idx="4">
                  <c:v>5500</c:v>
                </c:pt>
              </c:numCache>
            </c:numRef>
          </c:val>
          <c:extLst>
            <c:ext xmlns:c16="http://schemas.microsoft.com/office/drawing/2014/chart" uri="{C3380CC4-5D6E-409C-BE32-E72D297353CC}">
              <c16:uniqueId val="{00000002-9F4A-4234-A76D-33F4FB7C9B2D}"/>
            </c:ext>
          </c:extLst>
        </c:ser>
        <c:ser>
          <c:idx val="3"/>
          <c:order val="3"/>
          <c:tx>
            <c:strRef>
              <c:f>'Charting 1'!$E$4</c:f>
              <c:strCache>
                <c:ptCount val="1"/>
                <c:pt idx="0">
                  <c:v>Week 4</c:v>
                </c:pt>
              </c:strCache>
            </c:strRef>
          </c:tx>
          <c:spPr>
            <a:solidFill>
              <a:schemeClr val="accent6">
                <a:tint val="77000"/>
              </a:schemeClr>
            </a:solidFill>
            <a:ln>
              <a:noFill/>
            </a:ln>
            <a:effectLst/>
          </c:spPr>
          <c:invertIfNegative val="0"/>
          <c:cat>
            <c:strRef>
              <c:f>'Charting 1'!$A$5:$A$9</c:f>
              <c:strCache>
                <c:ptCount val="5"/>
                <c:pt idx="0">
                  <c:v>R.Smith</c:v>
                </c:pt>
                <c:pt idx="1">
                  <c:v>H. James</c:v>
                </c:pt>
                <c:pt idx="2">
                  <c:v>S.O'Brian</c:v>
                </c:pt>
                <c:pt idx="3">
                  <c:v>L. Carrie</c:v>
                </c:pt>
                <c:pt idx="4">
                  <c:v>K. Dunn</c:v>
                </c:pt>
              </c:strCache>
            </c:strRef>
          </c:cat>
          <c:val>
            <c:numRef>
              <c:f>'Charting 1'!$E$5:$E$9</c:f>
              <c:numCache>
                <c:formatCode>"$"#,##0</c:formatCode>
                <c:ptCount val="5"/>
                <c:pt idx="0">
                  <c:v>2750</c:v>
                </c:pt>
                <c:pt idx="1">
                  <c:v>5400</c:v>
                </c:pt>
                <c:pt idx="2">
                  <c:v>2320</c:v>
                </c:pt>
                <c:pt idx="3">
                  <c:v>4500</c:v>
                </c:pt>
                <c:pt idx="4">
                  <c:v>4510</c:v>
                </c:pt>
              </c:numCache>
            </c:numRef>
          </c:val>
          <c:extLst>
            <c:ext xmlns:c16="http://schemas.microsoft.com/office/drawing/2014/chart" uri="{C3380CC4-5D6E-409C-BE32-E72D297353CC}">
              <c16:uniqueId val="{00000003-9F4A-4234-A76D-33F4FB7C9B2D}"/>
            </c:ext>
          </c:extLst>
        </c:ser>
        <c:dLbls>
          <c:showLegendKey val="0"/>
          <c:showVal val="0"/>
          <c:showCatName val="0"/>
          <c:showSerName val="0"/>
          <c:showPercent val="0"/>
          <c:showBubbleSize val="0"/>
        </c:dLbls>
        <c:gapWidth val="219"/>
        <c:axId val="506864303"/>
        <c:axId val="547777967"/>
      </c:barChart>
      <c:lineChart>
        <c:grouping val="standard"/>
        <c:varyColors val="0"/>
        <c:ser>
          <c:idx val="4"/>
          <c:order val="4"/>
          <c:tx>
            <c:strRef>
              <c:f>'Charting 1'!$F$4</c:f>
              <c:strCache>
                <c:ptCount val="1"/>
                <c:pt idx="0">
                  <c:v>Average</c:v>
                </c:pt>
              </c:strCache>
            </c:strRef>
          </c:tx>
          <c:spPr>
            <a:ln w="28575" cap="rnd">
              <a:solidFill>
                <a:schemeClr val="accent6">
                  <a:tint val="54000"/>
                </a:schemeClr>
              </a:solidFill>
              <a:round/>
            </a:ln>
            <a:effectLst/>
          </c:spPr>
          <c:marker>
            <c:symbol val="none"/>
          </c:marker>
          <c:cat>
            <c:strRef>
              <c:f>'Charting 1'!$A$5:$A$9</c:f>
              <c:strCache>
                <c:ptCount val="5"/>
                <c:pt idx="0">
                  <c:v>R.Smith</c:v>
                </c:pt>
                <c:pt idx="1">
                  <c:v>H. James</c:v>
                </c:pt>
                <c:pt idx="2">
                  <c:v>S.O'Brian</c:v>
                </c:pt>
                <c:pt idx="3">
                  <c:v>L. Carrie</c:v>
                </c:pt>
                <c:pt idx="4">
                  <c:v>K. Dunn</c:v>
                </c:pt>
              </c:strCache>
            </c:strRef>
          </c:cat>
          <c:val>
            <c:numRef>
              <c:f>'Charting 1'!$F$5:$F$9</c:f>
              <c:numCache>
                <c:formatCode>"$"#,##0</c:formatCode>
                <c:ptCount val="5"/>
                <c:pt idx="0">
                  <c:v>3362.5</c:v>
                </c:pt>
                <c:pt idx="1">
                  <c:v>4600</c:v>
                </c:pt>
                <c:pt idx="2">
                  <c:v>3105</c:v>
                </c:pt>
                <c:pt idx="3">
                  <c:v>5567.5</c:v>
                </c:pt>
                <c:pt idx="4">
                  <c:v>4215</c:v>
                </c:pt>
              </c:numCache>
            </c:numRef>
          </c:val>
          <c:smooth val="0"/>
          <c:extLst>
            <c:ext xmlns:c16="http://schemas.microsoft.com/office/drawing/2014/chart" uri="{C3380CC4-5D6E-409C-BE32-E72D297353CC}">
              <c16:uniqueId val="{00000004-9F4A-4234-A76D-33F4FB7C9B2D}"/>
            </c:ext>
          </c:extLst>
        </c:ser>
        <c:dLbls>
          <c:showLegendKey val="0"/>
          <c:showVal val="0"/>
          <c:showCatName val="0"/>
          <c:showSerName val="0"/>
          <c:showPercent val="0"/>
          <c:showBubbleSize val="0"/>
        </c:dLbls>
        <c:marker val="1"/>
        <c:smooth val="0"/>
        <c:axId val="506864303"/>
        <c:axId val="547777967"/>
      </c:lineChart>
      <c:catAx>
        <c:axId val="506864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777967"/>
        <c:crosses val="autoZero"/>
        <c:auto val="1"/>
        <c:lblAlgn val="ctr"/>
        <c:lblOffset val="100"/>
        <c:noMultiLvlLbl val="0"/>
      </c:catAx>
      <c:valAx>
        <c:axId val="547777967"/>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86430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257175</xdr:colOff>
      <xdr:row>1</xdr:row>
      <xdr:rowOff>85725</xdr:rowOff>
    </xdr:from>
    <xdr:to>
      <xdr:col>5</xdr:col>
      <xdr:colOff>66675</xdr:colOff>
      <xdr:row>1</xdr:row>
      <xdr:rowOff>85725</xdr:rowOff>
    </xdr:to>
    <xdr:sp macro="" textlink="">
      <xdr:nvSpPr>
        <xdr:cNvPr id="2" name="Line 1">
          <a:extLst>
            <a:ext uri="{FF2B5EF4-FFF2-40B4-BE49-F238E27FC236}">
              <a16:creationId xmlns:a16="http://schemas.microsoft.com/office/drawing/2014/main" id="{E9548E17-1405-4F19-A8FF-0DB06A5C9E02}"/>
            </a:ext>
          </a:extLst>
        </xdr:cNvPr>
        <xdr:cNvSpPr>
          <a:spLocks noChangeShapeType="1"/>
        </xdr:cNvSpPr>
      </xdr:nvSpPr>
      <xdr:spPr bwMode="auto">
        <a:xfrm>
          <a:off x="3070225" y="282575"/>
          <a:ext cx="43815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181439</xdr:colOff>
      <xdr:row>1</xdr:row>
      <xdr:rowOff>174703</xdr:rowOff>
    </xdr:from>
    <xdr:to>
      <xdr:col>8</xdr:col>
      <xdr:colOff>374727</xdr:colOff>
      <xdr:row>15</xdr:row>
      <xdr:rowOff>31828</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1F5BFF27-149A-4E1E-8F68-AAF1372641C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992476" y="36520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355600</xdr:colOff>
      <xdr:row>3</xdr:row>
      <xdr:rowOff>117475</xdr:rowOff>
    </xdr:from>
    <xdr:to>
      <xdr:col>9</xdr:col>
      <xdr:colOff>155575</xdr:colOff>
      <xdr:row>7</xdr:row>
      <xdr:rowOff>79375</xdr:rowOff>
    </xdr:to>
    <xdr:sp macro="" textlink="">
      <xdr:nvSpPr>
        <xdr:cNvPr id="2" name="Text Box 1">
          <a:extLst>
            <a:ext uri="{FF2B5EF4-FFF2-40B4-BE49-F238E27FC236}">
              <a16:creationId xmlns:a16="http://schemas.microsoft.com/office/drawing/2014/main" id="{680DC7E3-3261-4B42-87E8-214B0812429D}"/>
            </a:ext>
          </a:extLst>
        </xdr:cNvPr>
        <xdr:cNvSpPr txBox="1">
          <a:spLocks noChangeArrowheads="1"/>
        </xdr:cNvSpPr>
      </xdr:nvSpPr>
      <xdr:spPr bwMode="auto">
        <a:xfrm>
          <a:off x="2184400" y="619125"/>
          <a:ext cx="3457575" cy="596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45720" rIns="91440" bIns="45720" anchor="t" upright="1"/>
        <a:lstStyle/>
        <a:p>
          <a:pPr algn="l" rtl="0">
            <a:lnSpc>
              <a:spcPts val="1100"/>
            </a:lnSpc>
            <a:defRPr sz="1000"/>
          </a:pPr>
          <a:r>
            <a:rPr lang="en-US" sz="1000" b="1" i="0" u="none" strike="noStrike" baseline="0">
              <a:solidFill>
                <a:srgbClr val="000000"/>
              </a:solidFill>
              <a:latin typeface="Arial"/>
              <a:cs typeface="Arial"/>
            </a:rPr>
            <a:t>Condition 1:</a:t>
          </a:r>
          <a:endParaRPr lang="en-US" sz="1000" b="0" i="0" u="none" strike="noStrike" baseline="0">
            <a:solidFill>
              <a:srgbClr val="000000"/>
            </a:solidFill>
            <a:latin typeface="Arial"/>
            <a:cs typeface="Arial"/>
          </a:endParaRPr>
        </a:p>
        <a:p>
          <a:pPr algn="l" rtl="0">
            <a:lnSpc>
              <a:spcPts val="1000"/>
            </a:lnSpc>
            <a:defRPr sz="1000"/>
          </a:pPr>
          <a:r>
            <a:rPr lang="en-US" sz="1000" b="0" i="0" u="none" strike="noStrike" baseline="0">
              <a:solidFill>
                <a:srgbClr val="000000"/>
              </a:solidFill>
              <a:latin typeface="Arial"/>
              <a:cs typeface="Arial"/>
            </a:rPr>
            <a:t>Formula Is   =ISERROR(C2)  </a:t>
          </a:r>
          <a:r>
            <a:rPr lang="en-US" sz="1000" b="1" i="0" u="none" strike="noStrike" baseline="0">
              <a:solidFill>
                <a:srgbClr val="0000FF"/>
              </a:solidFill>
              <a:latin typeface="Arial"/>
              <a:cs typeface="Arial"/>
            </a:rPr>
            <a:t> (White Font)</a:t>
          </a:r>
          <a:endParaRPr lang="en-US" sz="1000" b="0" i="0" u="none" strike="noStrike" baseline="0">
            <a:solidFill>
              <a:srgbClr val="000000"/>
            </a:solidFill>
            <a:latin typeface="Arial"/>
            <a:cs typeface="Arial"/>
          </a:endParaRPr>
        </a:p>
        <a:p>
          <a:pPr algn="l" rtl="0">
            <a:lnSpc>
              <a:spcPts val="1000"/>
            </a:lnSpc>
            <a:defRPr sz="1000"/>
          </a:pPr>
          <a:endParaRPr lang="en-US" sz="1000" b="0" i="0" u="none" strike="noStrike" baseline="0">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387350</xdr:colOff>
      <xdr:row>0</xdr:row>
      <xdr:rowOff>107950</xdr:rowOff>
    </xdr:from>
    <xdr:to>
      <xdr:col>4</xdr:col>
      <xdr:colOff>358775</xdr:colOff>
      <xdr:row>6</xdr:row>
      <xdr:rowOff>6350</xdr:rowOff>
    </xdr:to>
    <xdr:sp macro="" textlink="">
      <xdr:nvSpPr>
        <xdr:cNvPr id="2" name="Text Box 1">
          <a:extLst>
            <a:ext uri="{FF2B5EF4-FFF2-40B4-BE49-F238E27FC236}">
              <a16:creationId xmlns:a16="http://schemas.microsoft.com/office/drawing/2014/main" id="{E152E902-D0AE-48E8-AC4D-5C2FD4323D19}"/>
            </a:ext>
          </a:extLst>
        </xdr:cNvPr>
        <xdr:cNvSpPr txBox="1">
          <a:spLocks noChangeArrowheads="1"/>
        </xdr:cNvSpPr>
      </xdr:nvSpPr>
      <xdr:spPr bwMode="auto">
        <a:xfrm>
          <a:off x="1752600" y="107950"/>
          <a:ext cx="1190625" cy="876300"/>
        </a:xfrm>
        <a:prstGeom prst="rect">
          <a:avLst/>
        </a:prstGeom>
        <a:solidFill>
          <a:srgbClr val="D0CEF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Duplicate region names are hidden when the table is sorted by Region</a:t>
          </a:r>
        </a:p>
      </xdr:txBody>
    </xdr:sp>
    <xdr:clientData/>
  </xdr:twoCellAnchor>
  <xdr:twoCellAnchor>
    <xdr:from>
      <xdr:col>3</xdr:col>
      <xdr:colOff>387350</xdr:colOff>
      <xdr:row>7</xdr:row>
      <xdr:rowOff>111125</xdr:rowOff>
    </xdr:from>
    <xdr:to>
      <xdr:col>9</xdr:col>
      <xdr:colOff>187325</xdr:colOff>
      <xdr:row>11</xdr:row>
      <xdr:rowOff>73025</xdr:rowOff>
    </xdr:to>
    <xdr:sp macro="" textlink="">
      <xdr:nvSpPr>
        <xdr:cNvPr id="3" name="Text Box 2">
          <a:extLst>
            <a:ext uri="{FF2B5EF4-FFF2-40B4-BE49-F238E27FC236}">
              <a16:creationId xmlns:a16="http://schemas.microsoft.com/office/drawing/2014/main" id="{214EE820-D0A8-40F1-8FA4-6EAB76742B56}"/>
            </a:ext>
          </a:extLst>
        </xdr:cNvPr>
        <xdr:cNvSpPr txBox="1">
          <a:spLocks noChangeArrowheads="1"/>
        </xdr:cNvSpPr>
      </xdr:nvSpPr>
      <xdr:spPr bwMode="auto">
        <a:xfrm>
          <a:off x="2362200" y="1247775"/>
          <a:ext cx="3457575" cy="596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45720" rIns="91440" bIns="45720" anchor="t" upright="1"/>
        <a:lstStyle/>
        <a:p>
          <a:pPr algn="l" rtl="0">
            <a:lnSpc>
              <a:spcPts val="1100"/>
            </a:lnSpc>
            <a:defRPr sz="1000"/>
          </a:pPr>
          <a:r>
            <a:rPr lang="en-US" sz="1000" b="1" i="0" u="none" strike="noStrike" baseline="0">
              <a:solidFill>
                <a:srgbClr val="000000"/>
              </a:solidFill>
              <a:latin typeface="Arial"/>
              <a:cs typeface="Arial"/>
            </a:rPr>
            <a:t>Condition 1:</a:t>
          </a:r>
          <a:endParaRPr lang="en-US" sz="1000" b="0" i="0" u="none" strike="noStrike" baseline="0">
            <a:solidFill>
              <a:srgbClr val="000000"/>
            </a:solidFill>
            <a:latin typeface="Arial"/>
            <a:cs typeface="Arial"/>
          </a:endParaRPr>
        </a:p>
        <a:p>
          <a:pPr algn="l" rtl="0">
            <a:lnSpc>
              <a:spcPts val="1000"/>
            </a:lnSpc>
            <a:defRPr sz="1000"/>
          </a:pPr>
          <a:r>
            <a:rPr lang="en-US" sz="1000" b="0" i="0" u="none" strike="noStrike" baseline="0">
              <a:solidFill>
                <a:srgbClr val="000000"/>
              </a:solidFill>
              <a:latin typeface="Arial"/>
              <a:cs typeface="Arial"/>
            </a:rPr>
            <a:t>Formula Is   =A2=A1  </a:t>
          </a:r>
          <a:r>
            <a:rPr lang="en-US" sz="1000" b="1" i="0" u="none" strike="noStrike" baseline="0">
              <a:solidFill>
                <a:srgbClr val="0000FF"/>
              </a:solidFill>
              <a:latin typeface="Arial"/>
              <a:cs typeface="Arial"/>
            </a:rPr>
            <a:t> (White Font)</a:t>
          </a:r>
          <a:endParaRPr lang="en-US" sz="1000" b="0" i="0" u="none" strike="noStrike" baseline="0">
            <a:solidFill>
              <a:srgbClr val="000000"/>
            </a:solidFill>
            <a:latin typeface="Arial"/>
            <a:cs typeface="Arial"/>
          </a:endParaRPr>
        </a:p>
        <a:p>
          <a:pPr algn="l" rtl="0">
            <a:lnSpc>
              <a:spcPts val="1000"/>
            </a:lnSpc>
            <a:defRPr sz="1000"/>
          </a:pPr>
          <a:endParaRPr lang="en-US" sz="1000" b="0" i="0" u="none" strike="noStrike" baseline="0">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504825</xdr:colOff>
      <xdr:row>3</xdr:row>
      <xdr:rowOff>38100</xdr:rowOff>
    </xdr:from>
    <xdr:to>
      <xdr:col>8</xdr:col>
      <xdr:colOff>419100</xdr:colOff>
      <xdr:row>7</xdr:row>
      <xdr:rowOff>0</xdr:rowOff>
    </xdr:to>
    <xdr:sp macro="" textlink="">
      <xdr:nvSpPr>
        <xdr:cNvPr id="2" name="Text Box 1">
          <a:extLst>
            <a:ext uri="{FF2B5EF4-FFF2-40B4-BE49-F238E27FC236}">
              <a16:creationId xmlns:a16="http://schemas.microsoft.com/office/drawing/2014/main" id="{2110251A-9870-458A-AD45-0C53183AA0A9}"/>
            </a:ext>
          </a:extLst>
        </xdr:cNvPr>
        <xdr:cNvSpPr txBox="1">
          <a:spLocks noChangeArrowheads="1"/>
        </xdr:cNvSpPr>
      </xdr:nvSpPr>
      <xdr:spPr bwMode="auto">
        <a:xfrm>
          <a:off x="2498725" y="539750"/>
          <a:ext cx="2352675" cy="596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45720" rIns="91440" bIns="45720" anchor="t" upright="1"/>
        <a:lstStyle/>
        <a:p>
          <a:pPr algn="l" rtl="0">
            <a:lnSpc>
              <a:spcPts val="1100"/>
            </a:lnSpc>
            <a:defRPr sz="1000"/>
          </a:pPr>
          <a:r>
            <a:rPr lang="en-US" sz="1000" b="1" i="0" u="none" strike="noStrike" baseline="0">
              <a:solidFill>
                <a:srgbClr val="000000"/>
              </a:solidFill>
              <a:latin typeface="Arial"/>
              <a:cs typeface="Arial"/>
            </a:rPr>
            <a:t>Condition 1:</a:t>
          </a:r>
          <a:endParaRPr lang="en-US" sz="1000" b="0" i="0" u="none" strike="noStrike" baseline="0">
            <a:solidFill>
              <a:srgbClr val="000000"/>
            </a:solidFill>
            <a:latin typeface="Arial"/>
            <a:cs typeface="Arial"/>
          </a:endParaRPr>
        </a:p>
        <a:p>
          <a:pPr algn="l" rtl="0">
            <a:lnSpc>
              <a:spcPts val="1000"/>
            </a:lnSpc>
            <a:defRPr sz="1000"/>
          </a:pPr>
          <a:r>
            <a:rPr lang="en-US" sz="1000" b="0" i="0" u="none" strike="noStrike" baseline="0">
              <a:solidFill>
                <a:srgbClr val="000000"/>
              </a:solidFill>
              <a:latin typeface="Arial"/>
              <a:cs typeface="Arial"/>
            </a:rPr>
            <a:t>Formula Is   =$B2&gt;75  </a:t>
          </a:r>
          <a:r>
            <a:rPr lang="en-US" sz="1000" b="1" i="0" u="none" strike="noStrike" baseline="0">
              <a:solidFill>
                <a:srgbClr val="0000FF"/>
              </a:solidFill>
              <a:latin typeface="Arial"/>
              <a:cs typeface="Arial"/>
            </a:rPr>
            <a:t> (Blue Fill)</a:t>
          </a:r>
          <a:endParaRPr lang="en-US" sz="1000" b="0" i="0" u="none" strike="noStrike" baseline="0">
            <a:solidFill>
              <a:srgbClr val="000000"/>
            </a:solidFill>
            <a:latin typeface="Arial"/>
            <a:cs typeface="Arial"/>
          </a:endParaRPr>
        </a:p>
        <a:p>
          <a:pPr algn="l" rtl="0">
            <a:lnSpc>
              <a:spcPts val="1000"/>
            </a:lnSpc>
            <a:defRPr sz="1000"/>
          </a:pPr>
          <a:endParaRPr lang="en-US" sz="1000" b="0" i="0" u="none" strike="noStrike" baseline="0">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277585</xdr:colOff>
      <xdr:row>2</xdr:row>
      <xdr:rowOff>103414</xdr:rowOff>
    </xdr:from>
    <xdr:to>
      <xdr:col>14</xdr:col>
      <xdr:colOff>103414</xdr:colOff>
      <xdr:row>16</xdr:row>
      <xdr:rowOff>168729</xdr:rowOff>
    </xdr:to>
    <xdr:graphicFrame macro="">
      <xdr:nvGraphicFramePr>
        <xdr:cNvPr id="4" name="Chart 3">
          <a:extLst>
            <a:ext uri="{FF2B5EF4-FFF2-40B4-BE49-F238E27FC236}">
              <a16:creationId xmlns:a16="http://schemas.microsoft.com/office/drawing/2014/main" id="{1268D5DE-18C8-4380-8F79-4BF588BEC1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3</xdr:row>
          <xdr:rowOff>107156</xdr:rowOff>
        </xdr:from>
        <xdr:to>
          <xdr:col>6</xdr:col>
          <xdr:colOff>352425</xdr:colOff>
          <xdr:row>5</xdr:row>
          <xdr:rowOff>154781</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1AEDF60D-1170-45FD-BA35-10E2354A915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Header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561975</xdr:colOff>
          <xdr:row>0</xdr:row>
          <xdr:rowOff>133350</xdr:rowOff>
        </xdr:from>
        <xdr:to>
          <xdr:col>6</xdr:col>
          <xdr:colOff>161925</xdr:colOff>
          <xdr:row>3</xdr:row>
          <xdr:rowOff>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1B921A3F-095A-4250-B9B8-A764C97C8DC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z Karim" refreshedDate="44104.555208449077" createdVersion="6" refreshedVersion="6" minRefreshableVersion="3" recordCount="369" xr:uid="{1CA15E6A-43B9-402C-90EC-4315E8790638}">
  <cacheSource type="worksheet">
    <worksheetSource name="Table14Sales"/>
  </cacheSource>
  <cacheFields count="27">
    <cacheField name="Order ID" numFmtId="0">
      <sharedItems containsSemiMixedTypes="0" containsString="0" containsNumber="1" containsInteger="1" minValue="1001" maxValue="1432" count="369">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8"/>
        <n v="1039"/>
        <n v="1040"/>
        <n v="1041"/>
        <n v="1042"/>
        <n v="1043"/>
        <n v="1044"/>
        <n v="1045"/>
        <n v="1046"/>
        <n v="1047"/>
        <n v="1048"/>
        <n v="1049"/>
        <n v="1050"/>
        <n v="1051"/>
        <n v="1052"/>
        <n v="1053"/>
        <n v="1054"/>
        <n v="1055"/>
        <n v="1056"/>
        <n v="1057"/>
        <n v="1058"/>
        <n v="1059"/>
        <n v="1060"/>
        <n v="1061"/>
        <n v="1062"/>
        <n v="1064"/>
        <n v="1065"/>
        <n v="1067"/>
        <n v="1070"/>
        <n v="1071"/>
        <n v="1075"/>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8"/>
        <n v="1129"/>
        <n v="1131"/>
        <n v="1134"/>
        <n v="1135"/>
        <n v="1138"/>
        <n v="1139"/>
        <n v="1140"/>
        <n v="1141"/>
        <n v="1142"/>
        <n v="1143"/>
        <n v="1144"/>
        <n v="1145"/>
        <n v="1146"/>
        <n v="1147"/>
        <n v="1148"/>
        <n v="1149"/>
        <n v="1150"/>
        <n v="1151"/>
        <n v="1152"/>
        <n v="1153"/>
        <n v="1154"/>
        <n v="1155"/>
        <n v="1156"/>
        <n v="1157"/>
        <n v="1158"/>
        <n v="1159"/>
        <n v="1161"/>
        <n v="1162"/>
        <n v="1164"/>
        <n v="1167"/>
        <n v="1168"/>
        <n v="1172"/>
        <n v="1174"/>
        <n v="1175"/>
        <n v="1176"/>
        <n v="1177"/>
        <n v="1178"/>
        <n v="1179"/>
        <n v="1180"/>
        <n v="1181"/>
        <n v="1182"/>
        <n v="1183"/>
        <n v="1184"/>
        <n v="1185"/>
        <n v="1186"/>
        <n v="1187"/>
        <n v="1188"/>
        <n v="1189"/>
        <n v="1190"/>
        <n v="1191"/>
        <n v="1192"/>
        <n v="1193"/>
        <n v="1194"/>
        <n v="1195"/>
        <n v="1196"/>
        <n v="1197"/>
        <n v="1198"/>
        <n v="1199"/>
        <n v="1200"/>
        <n v="1201"/>
        <n v="1203"/>
        <n v="1204"/>
        <n v="1206"/>
        <n v="1209"/>
        <n v="1210"/>
        <n v="1214"/>
        <n v="1216"/>
        <n v="1217"/>
        <n v="1218"/>
        <n v="1219"/>
        <n v="1220"/>
        <n v="1221"/>
        <n v="1222"/>
        <n v="1223"/>
        <n v="1224"/>
        <n v="1225"/>
        <n v="1226"/>
        <n v="1227"/>
        <n v="1228"/>
        <n v="1229"/>
        <n v="1230"/>
        <n v="1231"/>
        <n v="1232"/>
        <n v="1233"/>
        <n v="1234"/>
        <n v="1235"/>
        <n v="1236"/>
        <n v="1237"/>
        <n v="1238"/>
        <n v="1239"/>
        <n v="1240"/>
        <n v="1241"/>
        <n v="1242"/>
        <n v="1243"/>
        <n v="1244"/>
        <n v="1245"/>
        <n v="1246"/>
        <n v="1248"/>
        <n v="1249"/>
        <n v="1250"/>
        <n v="1251"/>
        <n v="1252"/>
        <n v="1253"/>
        <n v="1254"/>
        <n v="1255"/>
        <n v="1256"/>
        <n v="1257"/>
        <n v="1258"/>
        <n v="1259"/>
        <n v="1260"/>
        <n v="1261"/>
        <n v="1262"/>
        <n v="1263"/>
        <n v="1264"/>
        <n v="1265"/>
        <n v="1266"/>
        <n v="1267"/>
        <n v="1268"/>
        <n v="1270"/>
        <n v="1271"/>
        <n v="1273"/>
        <n v="1276"/>
        <n v="1277"/>
        <n v="1281"/>
        <n v="1282"/>
        <n v="1283"/>
        <n v="1284"/>
        <n v="1285"/>
        <n v="1286"/>
        <n v="1287"/>
        <n v="1288"/>
        <n v="1289"/>
        <n v="1290"/>
        <n v="1291"/>
        <n v="1292"/>
        <n v="1293"/>
        <n v="1294"/>
        <n v="1295"/>
        <n v="1296"/>
        <n v="1297"/>
        <n v="1298"/>
        <n v="1299"/>
        <n v="1300"/>
        <n v="1301"/>
        <n v="1302"/>
        <n v="1303"/>
        <n v="1304"/>
        <n v="1305"/>
        <n v="1306"/>
        <n v="1307"/>
        <n v="1309"/>
        <n v="1310"/>
        <n v="1312"/>
        <n v="1315"/>
        <n v="1316"/>
        <n v="1320"/>
        <n v="1322"/>
        <n v="1323"/>
        <n v="1324"/>
        <n v="1325"/>
        <n v="1326"/>
        <n v="1327"/>
        <n v="1328"/>
        <n v="1329"/>
        <n v="1330"/>
        <n v="1331"/>
        <n v="1332"/>
        <n v="1333"/>
        <n v="1334"/>
        <n v="1335"/>
        <n v="1336"/>
        <n v="1337"/>
        <n v="1338"/>
        <n v="1339"/>
        <n v="1340"/>
        <n v="1341"/>
        <n v="1342"/>
        <n v="1343"/>
        <n v="1344"/>
        <n v="1345"/>
        <n v="1346"/>
        <n v="1347"/>
        <n v="1348"/>
        <n v="1350"/>
        <n v="1351"/>
        <n v="1353"/>
        <n v="1356"/>
        <n v="1357"/>
        <n v="1361"/>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6"/>
        <n v="1407"/>
        <n v="1409"/>
        <n v="1412"/>
        <n v="1413"/>
        <n v="1417"/>
        <n v="1419"/>
        <n v="1420"/>
        <n v="1421"/>
        <n v="1422"/>
        <n v="1423"/>
        <n v="1424"/>
        <n v="1425"/>
        <n v="1426"/>
        <n v="1427"/>
        <n v="1428"/>
        <n v="1429"/>
        <n v="1430"/>
        <n v="1431"/>
        <n v="1432"/>
      </sharedItems>
    </cacheField>
    <cacheField name="Order Date" numFmtId="169">
      <sharedItems containsSemiMixedTypes="0" containsNonDate="0" containsDate="1" containsString="0" minDate="2014-01-01T00:00:00" maxDate="2014-12-30T00:00:00" count="149">
        <d v="2014-01-27T00:00:00"/>
        <d v="2014-01-04T00:00:00"/>
        <d v="2014-01-12T00:00:00"/>
        <d v="2014-01-08T00:00:00"/>
        <d v="2014-01-29T00:00:00"/>
        <d v="2014-01-03T00:00:00"/>
        <d v="2014-01-06T00:00:00"/>
        <d v="2014-01-28T00:00:00"/>
        <d v="2014-01-10T00:00:00"/>
        <d v="2014-01-07T00:00:00"/>
        <d v="2014-01-11T00:00:00"/>
        <d v="2014-01-01T00:00:00"/>
        <d v="2014-01-09T00:00:00"/>
        <d v="2014-02-08T00:00:00"/>
        <d v="2014-02-03T00:00:00"/>
        <d v="2014-02-06T00:00:00"/>
        <d v="2014-02-28T00:00:00"/>
        <d v="2014-02-10T00:00:00"/>
        <d v="2014-02-11T00:00:00"/>
        <d v="2014-02-01T00:00:00"/>
        <d v="2014-02-09T00:00:00"/>
        <d v="2014-02-25T00:00:00"/>
        <d v="2014-02-26T00:00:00"/>
        <d v="2014-03-01T00:00:00"/>
        <d v="2014-02-04T00:00:00"/>
        <d v="2014-03-09T00:00:00"/>
        <d v="2014-03-06T00:00:00"/>
        <d v="2014-03-08T00:00:00"/>
        <d v="2014-03-25T00:00:00"/>
        <d v="2014-03-26T00:00:00"/>
        <d v="2014-03-29T00:00:00"/>
        <d v="2014-03-04T00:00:00"/>
        <d v="2014-03-03T00:00:00"/>
        <d v="2014-03-10T00:00:00"/>
        <d v="2014-03-11T00:00:00"/>
        <d v="2014-03-28T00:00:00"/>
        <d v="2014-04-04T00:00:00"/>
        <d v="2014-04-12T00:00:00"/>
        <d v="2014-04-08T00:00:00"/>
        <d v="2014-04-29T00:00:00"/>
        <d v="2014-04-03T00:00:00"/>
        <d v="2014-04-06T00:00:00"/>
        <d v="2014-04-28T00:00:00"/>
        <d v="2014-04-10T00:00:00"/>
        <d v="2014-04-07T00:00:00"/>
        <d v="2014-04-11T00:00:00"/>
        <d v="2014-04-01T00:00:00"/>
        <d v="2014-05-29T00:00:00"/>
        <d v="2014-05-03T00:00:00"/>
        <d v="2014-05-06T00:00:00"/>
        <d v="2014-05-28T00:00:00"/>
        <d v="2014-05-08T00:00:00"/>
        <d v="2014-05-10T00:00:00"/>
        <d v="2014-05-07T00:00:00"/>
        <d v="2014-05-11T00:00:00"/>
        <d v="2014-05-01T00:00:00"/>
        <d v="2014-05-09T00:00:00"/>
        <d v="2014-05-25T00:00:00"/>
        <d v="2014-05-26T00:00:00"/>
        <d v="2014-05-04T00:00:00"/>
        <d v="2014-06-07T00:00:00"/>
        <d v="2014-06-10T00:00:00"/>
        <d v="2014-06-11T00:00:00"/>
        <d v="2014-06-01T00:00:00"/>
        <d v="2014-06-28T00:00:00"/>
        <d v="2014-06-09T00:00:00"/>
        <d v="2014-06-06T00:00:00"/>
        <d v="2014-06-08T00:00:00"/>
        <d v="2014-06-25T00:00:00"/>
        <d v="2014-06-26T00:00:00"/>
        <d v="2014-06-29T00:00:00"/>
        <d v="2014-06-04T00:00:00"/>
        <d v="2014-06-03T00:00:00"/>
        <d v="2014-07-01T00:00:00"/>
        <d v="2014-07-28T00:00:00"/>
        <d v="2014-07-09T00:00:00"/>
        <d v="2014-07-06T00:00:00"/>
        <d v="2014-07-08T00:00:00"/>
        <d v="2014-07-25T00:00:00"/>
        <d v="2014-07-26T00:00:00"/>
        <d v="2014-07-29T00:00:00"/>
        <d v="2014-07-04T00:00:00"/>
        <d v="2014-07-03T00:00:00"/>
        <d v="2014-07-10T00:00:00"/>
        <d v="2014-07-11T00:00:00"/>
        <d v="2014-08-28T00:00:00"/>
        <d v="2014-08-08T00:00:00"/>
        <d v="2014-08-10T00:00:00"/>
        <d v="2014-08-07T00:00:00"/>
        <d v="2014-08-11T00:00:00"/>
        <d v="2014-08-01T00:00:00"/>
        <d v="2014-08-09T00:00:00"/>
        <d v="2014-08-06T00:00:00"/>
        <d v="2014-08-25T00:00:00"/>
        <d v="2014-08-26T00:00:00"/>
        <d v="2014-08-29T00:00:00"/>
        <d v="2014-08-04T00:00:00"/>
        <d v="2014-09-10T00:00:00"/>
        <d v="2014-09-11T00:00:00"/>
        <d v="2014-09-01T00:00:00"/>
        <d v="2014-09-28T00:00:00"/>
        <d v="2014-09-09T00:00:00"/>
        <d v="2014-09-06T00:00:00"/>
        <d v="2014-09-08T00:00:00"/>
        <d v="2014-09-25T00:00:00"/>
        <d v="2014-09-26T00:00:00"/>
        <d v="2014-09-29T00:00:00"/>
        <d v="2014-09-04T00:00:00"/>
        <d v="2014-09-03T00:00:00"/>
        <d v="2014-10-06T00:00:00"/>
        <d v="2014-10-28T00:00:00"/>
        <d v="2014-10-08T00:00:00"/>
        <d v="2014-10-10T00:00:00"/>
        <d v="2014-10-07T00:00:00"/>
        <d v="2014-10-11T00:00:00"/>
        <d v="2014-10-01T00:00:00"/>
        <d v="2014-10-09T00:00:00"/>
        <d v="2014-10-25T00:00:00"/>
        <d v="2014-10-26T00:00:00"/>
        <d v="2014-10-29T00:00:00"/>
        <d v="2014-10-04T00:00:00"/>
        <d v="2014-10-03T00:00:00"/>
        <d v="2014-11-10T00:00:00"/>
        <d v="2014-11-11T00:00:00"/>
        <d v="2014-11-01T00:00:00"/>
        <d v="2014-11-28T00:00:00"/>
        <d v="2014-11-09T00:00:00"/>
        <d v="2014-11-06T00:00:00"/>
        <d v="2014-11-08T00:00:00"/>
        <d v="2014-11-25T00:00:00"/>
        <d v="2014-11-26T00:00:00"/>
        <d v="2014-11-29T00:00:00"/>
        <d v="2014-11-04T00:00:00"/>
        <d v="2014-11-03T00:00:00"/>
        <d v="2014-12-27T00:00:00"/>
        <d v="2014-12-04T00:00:00"/>
        <d v="2014-12-12T00:00:00"/>
        <d v="2014-12-08T00:00:00"/>
        <d v="2014-12-29T00:00:00"/>
        <d v="2014-12-03T00:00:00"/>
        <d v="2014-12-06T00:00:00"/>
        <d v="2014-12-28T00:00:00"/>
        <d v="2014-12-10T00:00:00"/>
        <d v="2014-12-07T00:00:00"/>
        <d v="2014-12-11T00:00:00"/>
        <d v="2014-12-01T00:00:00"/>
        <d v="2014-12-09T00:00:00"/>
        <d v="2014-12-25T00:00:00"/>
        <d v="2014-12-26T00:00:00"/>
      </sharedItems>
    </cacheField>
    <cacheField name="Customer ID" numFmtId="0">
      <sharedItems containsSemiMixedTypes="0" containsString="0" containsNumber="1" containsInteger="1" minValue="1" maxValue="29"/>
    </cacheField>
    <cacheField name="Customer Name" numFmtId="0">
      <sharedItems/>
    </cacheField>
    <cacheField name="Address" numFmtId="0">
      <sharedItems/>
    </cacheField>
    <cacheField name="City" numFmtId="0">
      <sharedItems/>
    </cacheField>
    <cacheField name="State" numFmtId="0">
      <sharedItems/>
    </cacheField>
    <cacheField name="ZIP/Postal Code" numFmtId="0">
      <sharedItems containsSemiMixedTypes="0" containsString="0" containsNumber="1" containsInteger="1" minValue="99999" maxValue="99999"/>
    </cacheField>
    <cacheField name="Country/Region" numFmtId="0">
      <sharedItems/>
    </cacheField>
    <cacheField name="Salesperson" numFmtId="0">
      <sharedItems count="12">
        <s v="Mariya Sergienko"/>
        <s v="Andrew Cencini"/>
        <s v="Nancy Freehafer"/>
        <s v="Jan Kotas"/>
        <s v="Michael Neipper"/>
        <s v="Anne Larsen"/>
        <s v="Laura Giussani"/>
        <s v="Robert Zare"/>
        <s v="Team 2" f="1"/>
        <s v="Team 3" f="1"/>
        <s v="Team 4" f="1"/>
        <s v="Team 1" f="1"/>
      </sharedItems>
    </cacheField>
    <cacheField name="Region" numFmtId="0">
      <sharedItems count="4">
        <s v="West"/>
        <s v="East"/>
        <s v="North"/>
        <s v="South"/>
      </sharedItems>
    </cacheField>
    <cacheField name="Shipped Date" numFmtId="0">
      <sharedItems containsDate="1" containsString="0" containsBlank="1" containsMixedTypes="1" minDate="2014-01-05T00:00:00" maxDate="2014-12-09T00:00:00"/>
    </cacheField>
    <cacheField name="Shipper Name" numFmtId="0">
      <sharedItems containsBlank="1"/>
    </cacheField>
    <cacheField name="Ship Name" numFmtId="0">
      <sharedItems/>
    </cacheField>
    <cacheField name="Ship Address" numFmtId="0">
      <sharedItems/>
    </cacheField>
    <cacheField name="Ship City" numFmtId="0">
      <sharedItems/>
    </cacheField>
    <cacheField name="Ship State" numFmtId="0">
      <sharedItems/>
    </cacheField>
    <cacheField name="Ship ZIP/Postal Code" numFmtId="0">
      <sharedItems containsSemiMixedTypes="0" containsString="0" containsNumber="1" containsInteger="1" minValue="99999" maxValue="99999"/>
    </cacheField>
    <cacheField name="Ship Country/Region" numFmtId="0">
      <sharedItems/>
    </cacheField>
    <cacheField name="Payment Type" numFmtId="0">
      <sharedItems containsBlank="1"/>
    </cacheField>
    <cacheField name="Product Name" numFmtId="0">
      <sharedItems containsBlank="1"/>
    </cacheField>
    <cacheField name="Category" numFmtId="0">
      <sharedItems containsBlank="1"/>
    </cacheField>
    <cacheField name="Unit Price" numFmtId="0">
      <sharedItems containsString="0" containsBlank="1" containsNumber="1" minValue="2.99" maxValue="81"/>
    </cacheField>
    <cacheField name="Quantity" numFmtId="0">
      <sharedItems containsString="0" containsBlank="1" containsNumber="1" containsInteger="1" minValue="10" maxValue="100"/>
    </cacheField>
    <cacheField name="Revenue" numFmtId="165">
      <sharedItems containsSemiMixedTypes="0" containsString="0" containsNumber="1" minValue="0" maxValue="7938"/>
    </cacheField>
    <cacheField name="Shipping Fee" numFmtId="165">
      <sharedItems containsSemiMixedTypes="0" containsString="0" containsNumber="1" minValue="3.7345000000000002" maxValue="769.98599999999999"/>
    </cacheField>
    <cacheField name="Bonus" numFmtId="0" formula="Revenue*5%" databaseField="0"/>
  </cacheFields>
  <calculatedItems count="4">
    <calculatedItem formula="Salesperson['Andrew Cencini']+Salesperson['Mariya Sergienko']">
      <pivotArea cacheIndex="1" outline="0" fieldPosition="0">
        <references count="1">
          <reference field="9" count="1">
            <x v="8"/>
          </reference>
        </references>
      </pivotArea>
    </calculatedItem>
    <calculatedItem formula="Salesperson['Laura Giussani']+Salesperson['Michael Neipper']">
      <pivotArea cacheIndex="1" outline="0" fieldPosition="0">
        <references count="1">
          <reference field="9" count="1">
            <x v="9"/>
          </reference>
        </references>
      </pivotArea>
    </calculatedItem>
    <calculatedItem formula="Salesperson['Robert Zare']+Salesperson['Jan Kotas']">
      <pivotArea cacheIndex="1" outline="0" fieldPosition="0">
        <references count="1">
          <reference field="9" count="1">
            <x v="10"/>
          </reference>
        </references>
      </pivotArea>
    </calculatedItem>
    <calculatedItem formula="Salesperson['Nancy Freehafer']+Salesperson['Anne Larsen']">
      <pivotArea cacheIndex="1" outline="0" fieldPosition="0">
        <references count="1">
          <reference field="9" count="1">
            <x v="11"/>
          </reference>
        </references>
      </pivotArea>
    </calculatedItem>
  </calculatedItems>
  <extLst>
    <ext xmlns:x14="http://schemas.microsoft.com/office/spreadsheetml/2009/9/main" uri="{725AE2AE-9491-48be-B2B4-4EB974FC3084}">
      <x14:pivotCacheDefinition pivotCacheId="614706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9">
  <r>
    <x v="0"/>
    <x v="0"/>
    <n v="27"/>
    <s v="Company AA"/>
    <s v="789 27th Street"/>
    <s v="Las Vegas"/>
    <s v="NV"/>
    <n v="99999"/>
    <s v="USA"/>
    <x v="0"/>
    <x v="0"/>
    <d v="2014-01-29T00:00:00"/>
    <s v="Shipping Company B"/>
    <s v="Karen Toh"/>
    <s v="789 27th Street"/>
    <s v="Las Vegas"/>
    <s v="NV"/>
    <n v="99999"/>
    <s v="USA"/>
    <s v="Check"/>
    <s v="Beer"/>
    <s v="Beverages"/>
    <n v="14"/>
    <n v="49"/>
    <n v="686"/>
    <n v="66.542000000000002"/>
  </r>
  <r>
    <x v="1"/>
    <x v="0"/>
    <n v="27"/>
    <s v="Company AA"/>
    <s v="789 27th Street"/>
    <s v="Las Vegas"/>
    <s v="NV"/>
    <n v="99999"/>
    <s v="USA"/>
    <x v="0"/>
    <x v="0"/>
    <d v="2014-01-29T00:00:00"/>
    <s v="Shipping Company B"/>
    <s v="Karen Toh"/>
    <s v="789 27th Street"/>
    <s v="Las Vegas"/>
    <s v="NV"/>
    <n v="99999"/>
    <s v="USA"/>
    <s v="Check"/>
    <s v="Dried Plums"/>
    <s v="Dried Fruit &amp; Nuts"/>
    <n v="3.5"/>
    <n v="47"/>
    <n v="164.5"/>
    <n v="16.6145"/>
  </r>
  <r>
    <x v="2"/>
    <x v="1"/>
    <n v="4"/>
    <s v="Company D"/>
    <s v="123 4th Street"/>
    <s v="New York"/>
    <s v="NY"/>
    <n v="99999"/>
    <s v="USA"/>
    <x v="1"/>
    <x v="1"/>
    <d v="2014-01-06T00:00:00"/>
    <s v="Shipping Company A"/>
    <s v="Christina Lee"/>
    <s v="123 4th Street"/>
    <s v="New York"/>
    <s v="NY"/>
    <n v="99999"/>
    <s v="USA"/>
    <s v="Credit Card"/>
    <s v="Dried Pears"/>
    <s v="Dried Fruit &amp; Nuts"/>
    <n v="30"/>
    <n v="69"/>
    <n v="2070"/>
    <n v="198.72"/>
  </r>
  <r>
    <x v="3"/>
    <x v="1"/>
    <n v="4"/>
    <s v="Company D"/>
    <s v="123 4th Street"/>
    <s v="New York"/>
    <s v="NY"/>
    <n v="99999"/>
    <s v="USA"/>
    <x v="1"/>
    <x v="1"/>
    <d v="2014-01-06T00:00:00"/>
    <s v="Shipping Company A"/>
    <s v="Christina Lee"/>
    <s v="123 4th Street"/>
    <s v="New York"/>
    <s v="NY"/>
    <n v="99999"/>
    <s v="USA"/>
    <s v="Credit Card"/>
    <s v="Dried Apples"/>
    <s v="Dried Fruit &amp; Nuts"/>
    <n v="53"/>
    <n v="89"/>
    <n v="4717"/>
    <n v="448.11500000000001"/>
  </r>
  <r>
    <x v="4"/>
    <x v="1"/>
    <n v="4"/>
    <s v="Company D"/>
    <s v="123 4th Street"/>
    <s v="New York"/>
    <s v="NY"/>
    <n v="99999"/>
    <s v="USA"/>
    <x v="1"/>
    <x v="1"/>
    <d v="2014-01-06T00:00:00"/>
    <s v="Shipping Company A"/>
    <s v="Christina Lee"/>
    <s v="123 4th Street"/>
    <s v="New York"/>
    <s v="NY"/>
    <n v="99999"/>
    <s v="USA"/>
    <s v="Credit Card"/>
    <s v="Dried Plums"/>
    <s v="Dried Fruit &amp; Nuts"/>
    <n v="3.5"/>
    <n v="11"/>
    <n v="38.5"/>
    <n v="3.7345000000000002"/>
  </r>
  <r>
    <x v="5"/>
    <x v="2"/>
    <n v="12"/>
    <s v="Company L"/>
    <s v="123 12th Street"/>
    <s v="Las Vegas"/>
    <s v="NV"/>
    <n v="99999"/>
    <s v="USA"/>
    <x v="0"/>
    <x v="0"/>
    <d v="2014-01-14T00:00:00"/>
    <s v="Shipping Company B"/>
    <s v="John Edwards"/>
    <s v="123 12th Street"/>
    <s v="Las Vegas"/>
    <s v="NV"/>
    <n v="99999"/>
    <s v="USA"/>
    <s v="Credit Card"/>
    <s v="Chai"/>
    <s v="Beverages"/>
    <n v="18"/>
    <n v="81"/>
    <n v="1458"/>
    <n v="141.42600000000002"/>
  </r>
  <r>
    <x v="6"/>
    <x v="2"/>
    <n v="12"/>
    <s v="Company L"/>
    <s v="123 12th Street"/>
    <s v="Las Vegas"/>
    <s v="NV"/>
    <n v="99999"/>
    <s v="USA"/>
    <x v="0"/>
    <x v="0"/>
    <d v="2014-01-14T00:00:00"/>
    <s v="Shipping Company B"/>
    <s v="John Edwards"/>
    <s v="123 12th Street"/>
    <s v="Las Vegas"/>
    <s v="NV"/>
    <n v="99999"/>
    <s v="USA"/>
    <s v="Credit Card"/>
    <s v="Coffee"/>
    <s v="Beverages"/>
    <n v="46"/>
    <n v="44"/>
    <n v="2024"/>
    <n v="198.352"/>
  </r>
  <r>
    <x v="7"/>
    <x v="3"/>
    <n v="8"/>
    <s v="Company H"/>
    <s v="123 8th Street"/>
    <s v="Portland"/>
    <s v="OR"/>
    <n v="99999"/>
    <s v="USA"/>
    <x v="2"/>
    <x v="2"/>
    <d v="2014-01-10T00:00:00"/>
    <s v="Shipping Company C"/>
    <s v="Elizabeth Andersen"/>
    <s v="123 8th Street"/>
    <s v="Portland"/>
    <s v="OR"/>
    <n v="99999"/>
    <s v="USA"/>
    <s v="Credit Card"/>
    <s v="Chocolate Biscuits Mix"/>
    <s v="Baked Goods &amp; Mixes"/>
    <n v="9.1999999999999993"/>
    <n v="38"/>
    <n v="349.59999999999997"/>
    <n v="36.008800000000001"/>
  </r>
  <r>
    <x v="8"/>
    <x v="1"/>
    <n v="4"/>
    <s v="Company D"/>
    <s v="123 4th Street"/>
    <s v="New York"/>
    <s v="NY"/>
    <n v="99999"/>
    <s v="USA"/>
    <x v="1"/>
    <x v="1"/>
    <d v="2014-01-06T00:00:00"/>
    <s v="Shipping Company C"/>
    <s v="Christina Lee"/>
    <s v="123 4th Street"/>
    <s v="New York"/>
    <s v="NY"/>
    <n v="99999"/>
    <s v="USA"/>
    <s v="Check"/>
    <s v="Chocolate Biscuits Mix"/>
    <s v="Baked Goods &amp; Mixes"/>
    <n v="9.1999999999999993"/>
    <n v="88"/>
    <n v="809.59999999999991"/>
    <n v="79.340799999999987"/>
  </r>
  <r>
    <x v="9"/>
    <x v="4"/>
    <n v="29"/>
    <s v="Company CC"/>
    <s v="789 29th Street"/>
    <s v="Denver"/>
    <s v="CO"/>
    <n v="99999"/>
    <s v="USA"/>
    <x v="3"/>
    <x v="0"/>
    <d v="2014-01-31T00:00:00"/>
    <s v="Shipping Company B"/>
    <s v="Soo Jung Lee"/>
    <s v="789 29th Street"/>
    <s v="Denver"/>
    <s v="CO"/>
    <n v="99999"/>
    <s v="USA"/>
    <s v="Check"/>
    <s v="Chocolate"/>
    <s v="Candy"/>
    <n v="12.75"/>
    <n v="94"/>
    <n v="1198.5"/>
    <n v="122.24700000000001"/>
  </r>
  <r>
    <x v="10"/>
    <x v="5"/>
    <n v="3"/>
    <s v="Company C"/>
    <s v="123 3rd Street"/>
    <s v="Los Angelas"/>
    <s v="CA"/>
    <n v="99999"/>
    <s v="USA"/>
    <x v="0"/>
    <x v="0"/>
    <d v="2014-01-05T00:00:00"/>
    <s v="Shipping Company B"/>
    <s v="Thomas Axerr"/>
    <s v="123 3rd Street"/>
    <s v="Los Angelas"/>
    <s v="CA"/>
    <n v="99999"/>
    <s v="USA"/>
    <s v="Cash"/>
    <s v="Clam Chowder"/>
    <s v="Soups"/>
    <n v="9.65"/>
    <n v="91"/>
    <n v="878.15"/>
    <n v="92.205749999999995"/>
  </r>
  <r>
    <x v="11"/>
    <x v="6"/>
    <n v="6"/>
    <s v="Company F"/>
    <s v="123 6th Street"/>
    <s v="Milwaukee"/>
    <s v="WI"/>
    <n v="99999"/>
    <s v="USA"/>
    <x v="4"/>
    <x v="2"/>
    <d v="2014-01-08T00:00:00"/>
    <s v="Shipping Company B"/>
    <s v="Francisco Pérez-Olaeta"/>
    <s v="123 6th Street"/>
    <s v="Milwaukee"/>
    <s v="WI"/>
    <n v="99999"/>
    <s v="USA"/>
    <s v="Credit Card"/>
    <s v="Curry Sauce"/>
    <s v="Sauces"/>
    <n v="40"/>
    <n v="32"/>
    <n v="1280"/>
    <n v="133.12"/>
  </r>
  <r>
    <x v="12"/>
    <x v="7"/>
    <n v="28"/>
    <s v="Company BB"/>
    <s v="789 28th Street"/>
    <s v="Memphis"/>
    <s v="TN"/>
    <n v="99999"/>
    <s v="USA"/>
    <x v="5"/>
    <x v="3"/>
    <d v="2014-01-30T00:00:00"/>
    <s v="Shipping Company C"/>
    <s v="Amritansh Raghav"/>
    <s v="789 28th Street"/>
    <s v="Memphis"/>
    <s v="TN"/>
    <n v="99999"/>
    <s v="USA"/>
    <s v="Check"/>
    <s v="Coffee"/>
    <s v="Beverages"/>
    <n v="46"/>
    <n v="55"/>
    <n v="2530"/>
    <n v="253"/>
  </r>
  <r>
    <x v="13"/>
    <x v="3"/>
    <n v="8"/>
    <s v="Company H"/>
    <s v="123 8th Street"/>
    <s v="Portland"/>
    <s v="OR"/>
    <n v="99999"/>
    <s v="USA"/>
    <x v="2"/>
    <x v="2"/>
    <d v="2014-01-10T00:00:00"/>
    <s v="Shipping Company C"/>
    <s v="Elizabeth Andersen"/>
    <s v="123 8th Street"/>
    <s v="Portland"/>
    <s v="OR"/>
    <n v="99999"/>
    <s v="USA"/>
    <s v="Check"/>
    <s v="Chocolate"/>
    <s v="Candy"/>
    <n v="12.75"/>
    <n v="47"/>
    <n v="599.25"/>
    <n v="61.722750000000005"/>
  </r>
  <r>
    <x v="14"/>
    <x v="8"/>
    <n v="10"/>
    <s v="Company J"/>
    <s v="123 10th Street"/>
    <s v="Chicago"/>
    <s v="IL"/>
    <n v="99999"/>
    <s v="USA"/>
    <x v="6"/>
    <x v="1"/>
    <d v="2014-01-12T00:00:00"/>
    <s v="Shipping Company B"/>
    <s v="Roland Wacker"/>
    <s v="123 10th Street"/>
    <s v="Chicago"/>
    <s v="IL"/>
    <n v="99999"/>
    <s v="USA"/>
    <s v="Credit Card"/>
    <s v="Green Tea"/>
    <s v="Beverages"/>
    <n v="2.99"/>
    <n v="90"/>
    <n v="269.10000000000002"/>
    <n v="27.717300000000005"/>
  </r>
  <r>
    <x v="15"/>
    <x v="9"/>
    <n v="7"/>
    <s v="Company G"/>
    <s v="123 7th Street"/>
    <s v="Boise"/>
    <s v="ID"/>
    <n v="99999"/>
    <s v="USA"/>
    <x v="2"/>
    <x v="2"/>
    <m/>
    <m/>
    <s v="Ming-Yang Xie"/>
    <s v="123 7th Street"/>
    <s v="Boise"/>
    <s v="ID"/>
    <n v="99999"/>
    <s v="USA"/>
    <m/>
    <s v="Coffee"/>
    <s v="Beverages"/>
    <n v="46"/>
    <n v="24"/>
    <n v="1104"/>
    <n v="110.4"/>
  </r>
  <r>
    <x v="16"/>
    <x v="8"/>
    <n v="10"/>
    <s v="Company J"/>
    <s v="123 10th Street"/>
    <s v="Chicago"/>
    <s v="IL"/>
    <n v="99999"/>
    <s v="USA"/>
    <x v="6"/>
    <x v="1"/>
    <d v="2014-01-12T00:00:00"/>
    <s v="Shipping Company A"/>
    <s v="Roland Wacker"/>
    <s v="123 10th Street"/>
    <s v="Chicago"/>
    <s v="IL"/>
    <n v="99999"/>
    <s v="USA"/>
    <m/>
    <s v="Boysenberry Spread"/>
    <s v="Jams, Preserves"/>
    <n v="25"/>
    <n v="34"/>
    <n v="850"/>
    <n v="80.75"/>
  </r>
  <r>
    <x v="17"/>
    <x v="8"/>
    <n v="10"/>
    <s v="Company J"/>
    <s v="123 10th Street"/>
    <s v="Chicago"/>
    <s v="IL"/>
    <n v="99999"/>
    <s v="USA"/>
    <x v="6"/>
    <x v="1"/>
    <d v="2014-01-12T00:00:00"/>
    <s v="Shipping Company A"/>
    <s v="Roland Wacker"/>
    <s v="123 10th Street"/>
    <s v="Chicago"/>
    <s v="IL"/>
    <n v="99999"/>
    <s v="USA"/>
    <m/>
    <s v="Cajun Seasoning"/>
    <s v="Condiments"/>
    <n v="22"/>
    <n v="17"/>
    <n v="374"/>
    <n v="35.903999999999996"/>
  </r>
  <r>
    <x v="18"/>
    <x v="8"/>
    <n v="10"/>
    <s v="Company J"/>
    <s v="123 10th Street"/>
    <s v="Chicago"/>
    <s v="IL"/>
    <n v="99999"/>
    <s v="USA"/>
    <x v="6"/>
    <x v="1"/>
    <d v="2014-01-12T00:00:00"/>
    <s v="Shipping Company A"/>
    <s v="Roland Wacker"/>
    <s v="123 10th Street"/>
    <s v="Chicago"/>
    <s v="IL"/>
    <n v="99999"/>
    <s v="USA"/>
    <m/>
    <s v="Chocolate Biscuits Mix"/>
    <s v="Baked Goods &amp; Mixes"/>
    <n v="9.1999999999999993"/>
    <n v="44"/>
    <n v="404.79999999999995"/>
    <n v="42.099199999999996"/>
  </r>
  <r>
    <x v="19"/>
    <x v="10"/>
    <n v="11"/>
    <s v="Company K"/>
    <s v="123 11th Street"/>
    <s v="Miami"/>
    <s v="FL"/>
    <n v="99999"/>
    <s v="USA"/>
    <x v="5"/>
    <x v="3"/>
    <m/>
    <s v="Shipping Company C"/>
    <s v="Peter Krschne"/>
    <s v="123 11th Street"/>
    <s v="Miami"/>
    <s v="FL"/>
    <n v="99999"/>
    <s v="USA"/>
    <m/>
    <s v="Dried Plums"/>
    <s v="Dried Fruit &amp; Nuts"/>
    <n v="3.5"/>
    <n v="81"/>
    <n v="283.5"/>
    <n v="27.499500000000001"/>
  </r>
  <r>
    <x v="20"/>
    <x v="10"/>
    <n v="11"/>
    <s v="Company K"/>
    <s v="123 11th Street"/>
    <s v="Miami"/>
    <s v="FL"/>
    <n v="99999"/>
    <s v="USA"/>
    <x v="5"/>
    <x v="3"/>
    <m/>
    <s v="Shipping Company C"/>
    <s v="Peter Krschne"/>
    <s v="123 11th Street"/>
    <s v="Miami"/>
    <s v="FL"/>
    <n v="99999"/>
    <s v="USA"/>
    <m/>
    <s v="Green Tea"/>
    <s v="Beverages"/>
    <n v="2.99"/>
    <n v="49"/>
    <n v="146.51000000000002"/>
    <n v="15.090530000000005"/>
  </r>
  <r>
    <x v="21"/>
    <x v="11"/>
    <n v="1"/>
    <s v="Company A"/>
    <s v="123 1st Street"/>
    <s v="Seattle"/>
    <s v="WA"/>
    <n v="99999"/>
    <s v="USA"/>
    <x v="2"/>
    <x v="2"/>
    <m/>
    <m/>
    <s v="Anna Bedecs"/>
    <s v="123 1st Street"/>
    <s v="Seattle"/>
    <s v="WA"/>
    <n v="99999"/>
    <s v="USA"/>
    <m/>
    <s v="Chai"/>
    <s v="Beverages"/>
    <n v="18"/>
    <n v="42"/>
    <n v="756"/>
    <n v="75.600000000000009"/>
  </r>
  <r>
    <x v="22"/>
    <x v="11"/>
    <n v="1"/>
    <s v="Company A"/>
    <s v="123 1st Street"/>
    <s v="Seattle"/>
    <s v="WA"/>
    <n v="99999"/>
    <s v="USA"/>
    <x v="2"/>
    <x v="2"/>
    <m/>
    <m/>
    <s v="Anna Bedecs"/>
    <s v="123 1st Street"/>
    <s v="Seattle"/>
    <s v="WA"/>
    <n v="99999"/>
    <s v="USA"/>
    <m/>
    <s v="Coffee"/>
    <s v="Beverages"/>
    <n v="46"/>
    <n v="58"/>
    <n v="2668"/>
    <n v="269.46800000000002"/>
  </r>
  <r>
    <x v="23"/>
    <x v="11"/>
    <n v="1"/>
    <s v="Company A"/>
    <s v="123 1st Street"/>
    <s v="Seattle"/>
    <s v="WA"/>
    <n v="99999"/>
    <s v="USA"/>
    <x v="2"/>
    <x v="2"/>
    <m/>
    <m/>
    <s v="Anna Bedecs"/>
    <s v="123 1st Street"/>
    <s v="Seattle"/>
    <s v="WA"/>
    <n v="99999"/>
    <s v="USA"/>
    <m/>
    <s v="Green Tea"/>
    <s v="Beverages"/>
    <n v="2.99"/>
    <n v="67"/>
    <n v="200.33"/>
    <n v="20.033000000000001"/>
  </r>
  <r>
    <x v="24"/>
    <x v="7"/>
    <n v="28"/>
    <s v="Company BB"/>
    <s v="789 28th Street"/>
    <s v="Memphis"/>
    <s v="TN"/>
    <n v="99999"/>
    <s v="USA"/>
    <x v="5"/>
    <x v="3"/>
    <d v="2014-01-30T00:00:00"/>
    <s v="Shipping Company C"/>
    <s v="Amritansh Raghav"/>
    <s v="789 28th Street"/>
    <s v="Memphis"/>
    <s v="TN"/>
    <n v="99999"/>
    <s v="USA"/>
    <s v="Credit Card"/>
    <s v="Clam Chowder"/>
    <s v="Soups"/>
    <n v="9.65"/>
    <n v="100"/>
    <n v="965"/>
    <n v="93.605000000000004"/>
  </r>
  <r>
    <x v="25"/>
    <x v="7"/>
    <n v="28"/>
    <s v="Company BB"/>
    <s v="789 28th Street"/>
    <s v="Memphis"/>
    <s v="TN"/>
    <n v="99999"/>
    <s v="USA"/>
    <x v="5"/>
    <x v="3"/>
    <d v="2014-01-30T00:00:00"/>
    <s v="Shipping Company C"/>
    <s v="Amritansh Raghav"/>
    <s v="789 28th Street"/>
    <s v="Memphis"/>
    <s v="TN"/>
    <n v="99999"/>
    <s v="USA"/>
    <s v="Credit Card"/>
    <s v="Crab Meat"/>
    <s v="Canned Meat"/>
    <n v="18.399999999999999"/>
    <n v="63"/>
    <n v="1159.1999999999998"/>
    <n v="114.76079999999999"/>
  </r>
  <r>
    <x v="26"/>
    <x v="12"/>
    <n v="9"/>
    <s v="Company I"/>
    <s v="123 9th Street"/>
    <s v="Salt Lake City"/>
    <s v="UT"/>
    <n v="99999"/>
    <s v="USA"/>
    <x v="7"/>
    <x v="0"/>
    <d v="2014-01-11T00:00:00"/>
    <s v="Shipping Company A"/>
    <s v="Sven Mortensen"/>
    <s v="123 9th Street"/>
    <s v="Salt Lake City"/>
    <s v="UT"/>
    <n v="99999"/>
    <s v="USA"/>
    <s v="Check"/>
    <s v="Ravioli"/>
    <s v="Pasta"/>
    <n v="19.5"/>
    <n v="57"/>
    <n v="1111.5"/>
    <n v="110.0385"/>
  </r>
  <r>
    <x v="27"/>
    <x v="12"/>
    <n v="9"/>
    <s v="Company I"/>
    <s v="123 9th Street"/>
    <s v="Salt Lake City"/>
    <s v="UT"/>
    <n v="99999"/>
    <s v="USA"/>
    <x v="7"/>
    <x v="0"/>
    <d v="2014-01-11T00:00:00"/>
    <s v="Shipping Company A"/>
    <s v="Sven Mortensen"/>
    <s v="123 9th Street"/>
    <s v="Salt Lake City"/>
    <s v="UT"/>
    <n v="99999"/>
    <s v="USA"/>
    <s v="Check"/>
    <s v="Mozzarella"/>
    <s v="Dairy Products"/>
    <n v="34.799999999999997"/>
    <n v="81"/>
    <n v="2818.7999999999997"/>
    <n v="295.97399999999999"/>
  </r>
  <r>
    <x v="28"/>
    <x v="6"/>
    <n v="6"/>
    <s v="Company F"/>
    <s v="123 6th Street"/>
    <s v="Milwaukee"/>
    <s v="WI"/>
    <n v="99999"/>
    <s v="USA"/>
    <x v="4"/>
    <x v="2"/>
    <d v="2014-01-08T00:00:00"/>
    <s v="Shipping Company B"/>
    <s v="Francisco Pérez-Olaeta"/>
    <s v="123 6th Street"/>
    <s v="Milwaukee"/>
    <s v="WI"/>
    <n v="99999"/>
    <s v="USA"/>
    <s v="Credit Card"/>
    <s v="Beer"/>
    <s v="Beverages"/>
    <n v="14"/>
    <n v="71"/>
    <n v="994"/>
    <n v="95.424000000000007"/>
  </r>
  <r>
    <x v="29"/>
    <x v="13"/>
    <n v="8"/>
    <s v="Company H"/>
    <s v="123 8th Street"/>
    <s v="Portland"/>
    <s v="OR"/>
    <n v="99999"/>
    <s v="USA"/>
    <x v="2"/>
    <x v="2"/>
    <d v="2014-02-10T00:00:00"/>
    <s v="Shipping Company B"/>
    <s v="Elizabeth Andersen"/>
    <s v="123 8th Street"/>
    <s v="Portland"/>
    <s v="OR"/>
    <n v="99999"/>
    <s v="USA"/>
    <s v="Check"/>
    <s v="Curry Sauce"/>
    <s v="Sauces"/>
    <n v="40"/>
    <n v="32"/>
    <n v="1280"/>
    <n v="129.28"/>
  </r>
  <r>
    <x v="30"/>
    <x v="14"/>
    <n v="3"/>
    <s v="Company C"/>
    <s v="123 3rd Street"/>
    <s v="Los Angelas"/>
    <s v="CA"/>
    <n v="99999"/>
    <s v="USA"/>
    <x v="0"/>
    <x v="0"/>
    <d v="2014-02-05T00:00:00"/>
    <s v="Shipping Company B"/>
    <s v="Thomas Axerr"/>
    <s v="123 3rd Street"/>
    <s v="Los Angelas"/>
    <s v="CA"/>
    <n v="99999"/>
    <s v="USA"/>
    <s v="Cash"/>
    <s v="Syrup"/>
    <s v="Condiments"/>
    <n v="10"/>
    <n v="63"/>
    <n v="630"/>
    <n v="65.52"/>
  </r>
  <r>
    <x v="31"/>
    <x v="14"/>
    <n v="3"/>
    <s v="Company C"/>
    <s v="123 3rd Street"/>
    <s v="Los Angelas"/>
    <s v="CA"/>
    <n v="99999"/>
    <s v="USA"/>
    <x v="0"/>
    <x v="0"/>
    <d v="2014-02-05T00:00:00"/>
    <s v="Shipping Company B"/>
    <s v="Thomas Axerr"/>
    <s v="123 3rd Street"/>
    <s v="Los Angelas"/>
    <s v="CA"/>
    <n v="99999"/>
    <s v="USA"/>
    <s v="Cash"/>
    <s v="Curry Sauce"/>
    <s v="Sauces"/>
    <n v="40"/>
    <n v="30"/>
    <n v="1200"/>
    <n v="120"/>
  </r>
  <r>
    <x v="32"/>
    <x v="15"/>
    <n v="6"/>
    <s v="Company F"/>
    <s v="123 6th Street"/>
    <s v="Milwaukee"/>
    <s v="WI"/>
    <n v="99999"/>
    <s v="USA"/>
    <x v="4"/>
    <x v="2"/>
    <d v="2014-02-08T00:00:00"/>
    <s v="Shipping Company B"/>
    <s v="Francisco Pérez-Olaeta"/>
    <s v="123 6th Street"/>
    <s v="Milwaukee"/>
    <s v="WI"/>
    <n v="99999"/>
    <s v="USA"/>
    <s v="Credit Card"/>
    <m/>
    <m/>
    <m/>
    <m/>
    <n v="0"/>
    <n v="43"/>
  </r>
  <r>
    <x v="33"/>
    <x v="16"/>
    <n v="28"/>
    <s v="Company BB"/>
    <s v="789 28th Street"/>
    <s v="Memphis"/>
    <s v="TN"/>
    <n v="99999"/>
    <s v="USA"/>
    <x v="5"/>
    <x v="3"/>
    <d v="2014-03-02T00:00:00"/>
    <s v="Shipping Company C"/>
    <s v="Amritansh Raghav"/>
    <s v="789 28th Street"/>
    <s v="Memphis"/>
    <s v="TN"/>
    <n v="99999"/>
    <s v="USA"/>
    <s v="Check"/>
    <m/>
    <m/>
    <m/>
    <m/>
    <n v="0"/>
    <n v="31"/>
  </r>
  <r>
    <x v="34"/>
    <x v="13"/>
    <n v="8"/>
    <s v="Company H"/>
    <s v="123 8th Street"/>
    <s v="Portland"/>
    <s v="OR"/>
    <n v="99999"/>
    <s v="USA"/>
    <x v="2"/>
    <x v="2"/>
    <d v="2014-02-10T00:00:00"/>
    <s v="Shipping Company C"/>
    <s v="Elizabeth Andersen"/>
    <s v="123 8th Street"/>
    <s v="Portland"/>
    <s v="OR"/>
    <n v="99999"/>
    <s v="USA"/>
    <s v="Check"/>
    <m/>
    <m/>
    <m/>
    <m/>
    <n v="0"/>
    <n v="46"/>
  </r>
  <r>
    <x v="35"/>
    <x v="17"/>
    <n v="10"/>
    <s v="Company J"/>
    <s v="123 10th Street"/>
    <s v="Chicago"/>
    <s v="IL"/>
    <n v="99999"/>
    <s v="USA"/>
    <x v="6"/>
    <x v="1"/>
    <d v="2014-02-12T00:00:00"/>
    <s v="Shipping Company B"/>
    <s v="Roland Wacker"/>
    <s v="123 10th Street"/>
    <s v="Chicago"/>
    <s v="IL"/>
    <n v="99999"/>
    <s v="USA"/>
    <s v="Credit Card"/>
    <s v="Almonds"/>
    <s v="Dried Fruit &amp; Nuts"/>
    <n v="10"/>
    <n v="47"/>
    <n v="470"/>
    <n v="48.88"/>
  </r>
  <r>
    <x v="36"/>
    <x v="17"/>
    <n v="10"/>
    <s v="Company J"/>
    <s v="123 10th Street"/>
    <s v="Chicago"/>
    <s v="IL"/>
    <n v="99999"/>
    <s v="USA"/>
    <x v="6"/>
    <x v="1"/>
    <m/>
    <s v="Shipping Company A"/>
    <s v="Roland Wacker"/>
    <s v="123 10th Street"/>
    <s v="Chicago"/>
    <s v="IL"/>
    <n v="99999"/>
    <s v="USA"/>
    <m/>
    <s v="Dried Plums"/>
    <s v="Dried Fruit &amp; Nuts"/>
    <n v="3.5"/>
    <n v="49"/>
    <n v="171.5"/>
    <n v="16.464000000000002"/>
  </r>
  <r>
    <x v="37"/>
    <x v="18"/>
    <n v="11"/>
    <s v="Company K"/>
    <s v="123 11th Street"/>
    <s v="Miami"/>
    <s v="FL"/>
    <n v="99999"/>
    <s v="USA"/>
    <x v="5"/>
    <x v="3"/>
    <m/>
    <s v="Shipping Company C"/>
    <s v="Peter Krschne"/>
    <s v="123 11th Street"/>
    <s v="Miami"/>
    <s v="FL"/>
    <n v="99999"/>
    <s v="USA"/>
    <m/>
    <s v="Curry Sauce"/>
    <s v="Sauces"/>
    <n v="40"/>
    <n v="72"/>
    <n v="2880"/>
    <n v="285.12"/>
  </r>
  <r>
    <x v="38"/>
    <x v="19"/>
    <n v="1"/>
    <s v="Company A"/>
    <s v="123 1st Street"/>
    <s v="Seattle"/>
    <s v="WA"/>
    <n v="99999"/>
    <s v="USA"/>
    <x v="2"/>
    <x v="2"/>
    <m/>
    <s v="Shipping Company C"/>
    <s v="Anna Bedecs"/>
    <s v="123 1st Street"/>
    <s v="Seattle"/>
    <s v="WA"/>
    <n v="99999"/>
    <s v="USA"/>
    <m/>
    <s v="Crab Meat"/>
    <s v="Canned Meat"/>
    <n v="18.399999999999999"/>
    <n v="13"/>
    <n v="239.2"/>
    <n v="23.680800000000001"/>
  </r>
  <r>
    <x v="39"/>
    <x v="16"/>
    <n v="28"/>
    <s v="Company BB"/>
    <s v="789 28th Street"/>
    <s v="Memphis"/>
    <s v="TN"/>
    <n v="99999"/>
    <s v="USA"/>
    <x v="5"/>
    <x v="3"/>
    <n v="41700"/>
    <s v="Shipping Company C"/>
    <s v="Amritansh Raghav"/>
    <s v="789 28th Street"/>
    <s v="Memphis"/>
    <s v="TN"/>
    <n v="99999"/>
    <s v="USA"/>
    <s v="Credit Card"/>
    <s v="Coffee"/>
    <s v="Beverages"/>
    <n v="46"/>
    <n v="32"/>
    <n v="1472"/>
    <n v="148.67200000000003"/>
  </r>
  <r>
    <x v="40"/>
    <x v="20"/>
    <n v="9"/>
    <s v="Company I"/>
    <s v="123 9th Street"/>
    <s v="Salt Lake City"/>
    <s v="UT"/>
    <n v="99999"/>
    <s v="USA"/>
    <x v="7"/>
    <x v="0"/>
    <d v="2014-02-11T00:00:00"/>
    <s v="Shipping Company A"/>
    <s v="Sven Mortensen"/>
    <s v="123 9th Street"/>
    <s v="Salt Lake City"/>
    <s v="UT"/>
    <n v="99999"/>
    <s v="USA"/>
    <s v="Check"/>
    <s v="Clam Chowder"/>
    <s v="Soups"/>
    <n v="9.65"/>
    <n v="27"/>
    <n v="260.55"/>
    <n v="24.752250000000004"/>
  </r>
  <r>
    <x v="41"/>
    <x v="15"/>
    <n v="6"/>
    <s v="Company F"/>
    <s v="123 6th Street"/>
    <s v="Milwaukee"/>
    <s v="WI"/>
    <n v="99999"/>
    <s v="USA"/>
    <x v="4"/>
    <x v="2"/>
    <d v="2014-02-08T00:00:00"/>
    <s v="Shipping Company B"/>
    <s v="Francisco Pérez-Olaeta"/>
    <s v="123 6th Street"/>
    <s v="Milwaukee"/>
    <s v="WI"/>
    <n v="99999"/>
    <s v="USA"/>
    <s v="Credit Card"/>
    <s v="Chocolate"/>
    <s v="Candy"/>
    <n v="12.75"/>
    <n v="71"/>
    <n v="905.25"/>
    <n v="91.430250000000001"/>
  </r>
  <r>
    <x v="42"/>
    <x v="13"/>
    <n v="8"/>
    <s v="Company H"/>
    <s v="123 8th Street"/>
    <s v="Portland"/>
    <s v="OR"/>
    <n v="99999"/>
    <s v="USA"/>
    <x v="2"/>
    <x v="2"/>
    <d v="2014-02-10T00:00:00"/>
    <s v="Shipping Company B"/>
    <s v="Elizabeth Andersen"/>
    <s v="123 8th Street"/>
    <s v="Portland"/>
    <s v="OR"/>
    <n v="99999"/>
    <s v="USA"/>
    <s v="Check"/>
    <s v="Chocolate"/>
    <s v="Candy"/>
    <n v="12.75"/>
    <n v="13"/>
    <n v="165.75"/>
    <n v="15.746249999999998"/>
  </r>
  <r>
    <x v="43"/>
    <x v="21"/>
    <n v="25"/>
    <s v="Company Y"/>
    <s v="789 25th Street"/>
    <s v="Chicago"/>
    <s v="IL"/>
    <n v="99999"/>
    <s v="USA"/>
    <x v="6"/>
    <x v="1"/>
    <d v="2014-02-27T00:00:00"/>
    <s v="Shipping Company A"/>
    <s v="John Rodman"/>
    <s v="789 25th Street"/>
    <s v="Chicago"/>
    <s v="IL"/>
    <n v="99999"/>
    <s v="USA"/>
    <s v="Cash"/>
    <s v="Cajun Seasoning"/>
    <s v="Condiments"/>
    <n v="22"/>
    <n v="98"/>
    <n v="2156"/>
    <n v="204.82000000000002"/>
  </r>
  <r>
    <x v="44"/>
    <x v="22"/>
    <n v="26"/>
    <s v="Company Z"/>
    <s v="789 26th Street"/>
    <s v="Miami"/>
    <s v="FL"/>
    <n v="99999"/>
    <s v="USA"/>
    <x v="5"/>
    <x v="3"/>
    <d v="2014-02-28T00:00:00"/>
    <s v="Shipping Company C"/>
    <s v="Run Liu"/>
    <s v="789 26th Street"/>
    <s v="Miami"/>
    <s v="FL"/>
    <n v="99999"/>
    <s v="USA"/>
    <s v="Credit Card"/>
    <s v="Boysenberry Spread"/>
    <s v="Jams, Preserves"/>
    <n v="25"/>
    <n v="21"/>
    <n v="525"/>
    <n v="53.550000000000004"/>
  </r>
  <r>
    <x v="45"/>
    <x v="23"/>
    <n v="29"/>
    <s v="Company CC"/>
    <s v="789 29th Street"/>
    <s v="Denver"/>
    <s v="CO"/>
    <n v="99999"/>
    <s v="USA"/>
    <x v="3"/>
    <x v="0"/>
    <d v="2014-03-03T00:00:00"/>
    <s v="Shipping Company B"/>
    <s v="Soo Jung Lee"/>
    <s v="789 29th Street"/>
    <s v="Denver"/>
    <s v="CO"/>
    <n v="99999"/>
    <s v="USA"/>
    <s v="Check"/>
    <s v="Fruit Cocktail"/>
    <s v="Fruit &amp; Veg"/>
    <n v="39"/>
    <n v="26"/>
    <n v="1014"/>
    <n v="106.47000000000001"/>
  </r>
  <r>
    <x v="46"/>
    <x v="15"/>
    <n v="6"/>
    <s v="Company F"/>
    <s v="123 6th Street"/>
    <s v="Milwaukee"/>
    <s v="WI"/>
    <n v="99999"/>
    <s v="USA"/>
    <x v="4"/>
    <x v="2"/>
    <d v="2014-02-08T00:00:00"/>
    <s v="Shipping Company C"/>
    <s v="Francisco Pérez-Olaeta"/>
    <s v="123 6th Street"/>
    <s v="Milwaukee"/>
    <s v="WI"/>
    <n v="99999"/>
    <s v="USA"/>
    <s v="Check"/>
    <s v="Dried Pears"/>
    <s v="Dried Fruit &amp; Nuts"/>
    <n v="30"/>
    <n v="96"/>
    <n v="2880"/>
    <n v="296.64"/>
  </r>
  <r>
    <x v="47"/>
    <x v="15"/>
    <n v="6"/>
    <s v="Company F"/>
    <s v="123 6th Street"/>
    <s v="Milwaukee"/>
    <s v="WI"/>
    <n v="99999"/>
    <s v="USA"/>
    <x v="4"/>
    <x v="2"/>
    <d v="2014-02-08T00:00:00"/>
    <s v="Shipping Company C"/>
    <s v="Francisco Pérez-Olaeta"/>
    <s v="123 6th Street"/>
    <s v="Milwaukee"/>
    <s v="WI"/>
    <n v="99999"/>
    <s v="USA"/>
    <s v="Check"/>
    <s v="Dried Apples"/>
    <s v="Dried Fruit &amp; Nuts"/>
    <n v="53"/>
    <n v="16"/>
    <n v="848"/>
    <n v="88.192000000000021"/>
  </r>
  <r>
    <x v="48"/>
    <x v="24"/>
    <n v="4"/>
    <s v="Company D"/>
    <s v="123 4th Street"/>
    <s v="New York"/>
    <s v="NY"/>
    <n v="99999"/>
    <s v="USA"/>
    <x v="1"/>
    <x v="1"/>
    <m/>
    <m/>
    <s v="Christina Lee"/>
    <s v="123 4th Street"/>
    <s v="New York"/>
    <s v="NY"/>
    <n v="99999"/>
    <s v="USA"/>
    <m/>
    <s v="Gnocchi"/>
    <s v="Pasta"/>
    <n v="38"/>
    <n v="96"/>
    <n v="3648"/>
    <n v="346.56"/>
  </r>
  <r>
    <x v="49"/>
    <x v="14"/>
    <n v="3"/>
    <s v="Company C"/>
    <s v="123 3rd Street"/>
    <s v="Los Angelas"/>
    <s v="CA"/>
    <n v="99999"/>
    <s v="USA"/>
    <x v="0"/>
    <x v="0"/>
    <m/>
    <m/>
    <s v="Thomas Axerr"/>
    <s v="123 3rd Street"/>
    <s v="Los Angelas"/>
    <s v="CA"/>
    <n v="99999"/>
    <s v="USA"/>
    <m/>
    <s v="Green Tea"/>
    <s v="Beverages"/>
    <n v="2.99"/>
    <n v="75"/>
    <n v="224.25000000000003"/>
    <n v="23.097750000000005"/>
  </r>
  <r>
    <x v="50"/>
    <x v="25"/>
    <n v="9"/>
    <s v="Company I"/>
    <s v="123 9th Street"/>
    <s v="Salt Lake City"/>
    <s v="UT"/>
    <n v="99999"/>
    <s v="USA"/>
    <x v="7"/>
    <x v="0"/>
    <n v="41709"/>
    <s v="Shipping Company A"/>
    <s v="Sven Mortensen"/>
    <s v="123 9th Street"/>
    <s v="Salt Lake City"/>
    <s v="UT"/>
    <n v="99999"/>
    <s v="USA"/>
    <s v="Check"/>
    <s v="Ravioli"/>
    <s v="Pasta"/>
    <n v="19.5"/>
    <n v="55"/>
    <n v="1072.5"/>
    <n v="108.32250000000001"/>
  </r>
  <r>
    <x v="51"/>
    <x v="25"/>
    <n v="9"/>
    <s v="Company I"/>
    <s v="123 9th Street"/>
    <s v="Salt Lake City"/>
    <s v="UT"/>
    <n v="99999"/>
    <s v="USA"/>
    <x v="7"/>
    <x v="0"/>
    <d v="2014-03-11T00:00:00"/>
    <s v="Shipping Company A"/>
    <s v="Sven Mortensen"/>
    <s v="123 9th Street"/>
    <s v="Salt Lake City"/>
    <s v="UT"/>
    <n v="99999"/>
    <s v="USA"/>
    <s v="Check"/>
    <s v="Mozzarella"/>
    <s v="Dairy Products"/>
    <n v="34.799999999999997"/>
    <n v="11"/>
    <n v="382.79999999999995"/>
    <n v="36.748799999999996"/>
  </r>
  <r>
    <x v="52"/>
    <x v="26"/>
    <n v="6"/>
    <s v="Company F"/>
    <s v="123 6th Street"/>
    <s v="Milwaukee"/>
    <s v="WI"/>
    <n v="99999"/>
    <s v="USA"/>
    <x v="4"/>
    <x v="2"/>
    <d v="2014-03-08T00:00:00"/>
    <s v="Shipping Company B"/>
    <s v="Francisco Pérez-Olaeta"/>
    <s v="123 6th Street"/>
    <s v="Milwaukee"/>
    <s v="WI"/>
    <n v="99999"/>
    <s v="USA"/>
    <s v="Credit Card"/>
    <s v="Beer"/>
    <s v="Beverages"/>
    <n v="14"/>
    <n v="53"/>
    <n v="742"/>
    <n v="71.974000000000004"/>
  </r>
  <r>
    <x v="53"/>
    <x v="27"/>
    <n v="8"/>
    <s v="Company H"/>
    <s v="123 8th Street"/>
    <s v="Portland"/>
    <s v="OR"/>
    <n v="99999"/>
    <s v="USA"/>
    <x v="2"/>
    <x v="2"/>
    <d v="2014-03-10T00:00:00"/>
    <s v="Shipping Company B"/>
    <s v="Elizabeth Andersen"/>
    <s v="123 8th Street"/>
    <s v="Portland"/>
    <s v="OR"/>
    <n v="99999"/>
    <s v="USA"/>
    <s v="Check"/>
    <s v="Curry Sauce"/>
    <s v="Sauces"/>
    <n v="40"/>
    <n v="85"/>
    <n v="3400"/>
    <n v="357"/>
  </r>
  <r>
    <x v="54"/>
    <x v="27"/>
    <n v="8"/>
    <s v="Company H"/>
    <s v="123 8th Street"/>
    <s v="Portland"/>
    <s v="OR"/>
    <n v="99999"/>
    <s v="USA"/>
    <x v="2"/>
    <x v="2"/>
    <d v="2014-03-10T00:00:00"/>
    <s v="Shipping Company B"/>
    <s v="Elizabeth Andersen"/>
    <s v="123 8th Street"/>
    <s v="Portland"/>
    <s v="OR"/>
    <n v="99999"/>
    <s v="USA"/>
    <s v="Check"/>
    <s v="Chocolate Biscuits Mix"/>
    <s v="Baked Goods &amp; Mixes"/>
    <n v="9.1999999999999993"/>
    <n v="97"/>
    <n v="892.4"/>
    <n v="91.024800000000013"/>
  </r>
  <r>
    <x v="55"/>
    <x v="28"/>
    <n v="25"/>
    <s v="Company Y"/>
    <s v="789 25th Street"/>
    <s v="Chicago"/>
    <s v="IL"/>
    <n v="99999"/>
    <s v="USA"/>
    <x v="6"/>
    <x v="1"/>
    <d v="2014-03-27T00:00:00"/>
    <s v="Shipping Company A"/>
    <s v="John Rodman"/>
    <s v="789 25th Street"/>
    <s v="Chicago"/>
    <s v="IL"/>
    <n v="99999"/>
    <s v="USA"/>
    <s v="Cash"/>
    <s v="Scones"/>
    <s v="Baked Goods &amp; Mixes"/>
    <n v="10"/>
    <n v="46"/>
    <n v="460"/>
    <n v="46.46"/>
  </r>
  <r>
    <x v="56"/>
    <x v="29"/>
    <n v="26"/>
    <s v="Company Z"/>
    <s v="789 26th Street"/>
    <s v="Miami"/>
    <s v="FL"/>
    <n v="99999"/>
    <s v="USA"/>
    <x v="5"/>
    <x v="3"/>
    <d v="2014-03-28T00:00:00"/>
    <s v="Shipping Company C"/>
    <s v="Run Liu"/>
    <s v="789 26th Street"/>
    <s v="Miami"/>
    <s v="FL"/>
    <n v="99999"/>
    <s v="USA"/>
    <s v="Credit Card"/>
    <s v="Olive Oil"/>
    <s v="Oil"/>
    <n v="21.35"/>
    <n v="97"/>
    <n v="2070.9500000000003"/>
    <n v="196.74025"/>
  </r>
  <r>
    <x v="57"/>
    <x v="29"/>
    <n v="26"/>
    <s v="Company Z"/>
    <s v="789 26th Street"/>
    <s v="Miami"/>
    <s v="FL"/>
    <n v="99999"/>
    <s v="USA"/>
    <x v="5"/>
    <x v="3"/>
    <d v="2014-03-28T00:00:00"/>
    <s v="Shipping Company C"/>
    <s v="Run Liu"/>
    <s v="789 26th Street"/>
    <s v="Miami"/>
    <s v="FL"/>
    <n v="99999"/>
    <s v="USA"/>
    <s v="Credit Card"/>
    <s v="Clam Chowder"/>
    <s v="Soups"/>
    <n v="9.65"/>
    <n v="97"/>
    <n v="936.05000000000007"/>
    <n v="95.477100000000021"/>
  </r>
  <r>
    <x v="58"/>
    <x v="29"/>
    <n v="26"/>
    <s v="Company Z"/>
    <s v="789 26th Street"/>
    <s v="Miami"/>
    <s v="FL"/>
    <n v="99999"/>
    <s v="USA"/>
    <x v="5"/>
    <x v="3"/>
    <d v="2014-03-28T00:00:00"/>
    <s v="Shipping Company C"/>
    <s v="Run Liu"/>
    <s v="789 26th Street"/>
    <s v="Miami"/>
    <s v="FL"/>
    <n v="99999"/>
    <s v="USA"/>
    <s v="Credit Card"/>
    <s v="Crab Meat"/>
    <s v="Canned Meat"/>
    <n v="18.399999999999999"/>
    <n v="65"/>
    <n v="1196"/>
    <n v="123.18800000000002"/>
  </r>
  <r>
    <x v="59"/>
    <x v="30"/>
    <n v="29"/>
    <s v="Company CC"/>
    <s v="789 29th Street"/>
    <s v="Denver"/>
    <s v="CO"/>
    <n v="99999"/>
    <s v="USA"/>
    <x v="3"/>
    <x v="0"/>
    <d v="2014-03-31T00:00:00"/>
    <s v="Shipping Company B"/>
    <s v="Soo Jung Lee"/>
    <s v="789 29th Street"/>
    <s v="Denver"/>
    <s v="CO"/>
    <n v="99999"/>
    <s v="USA"/>
    <s v="Check"/>
    <s v="Beer"/>
    <s v="Beverages"/>
    <n v="14"/>
    <n v="72"/>
    <n v="1008"/>
    <n v="100.80000000000001"/>
  </r>
  <r>
    <x v="60"/>
    <x v="26"/>
    <n v="6"/>
    <s v="Company F"/>
    <s v="123 6th Street"/>
    <s v="Milwaukee"/>
    <s v="WI"/>
    <n v="99999"/>
    <s v="USA"/>
    <x v="4"/>
    <x v="2"/>
    <d v="2014-03-08T00:00:00"/>
    <s v="Shipping Company C"/>
    <s v="Francisco Pérez-Olaeta"/>
    <s v="123 6th Street"/>
    <s v="Milwaukee"/>
    <s v="WI"/>
    <n v="99999"/>
    <s v="USA"/>
    <s v="Check"/>
    <s v="Chocolate"/>
    <s v="Candy"/>
    <n v="12.75"/>
    <n v="16"/>
    <n v="204"/>
    <n v="20.196000000000002"/>
  </r>
  <r>
    <x v="61"/>
    <x v="31"/>
    <n v="4"/>
    <s v="Company D"/>
    <s v="123 4th Street"/>
    <s v="New York"/>
    <s v="NY"/>
    <n v="99999"/>
    <s v="USA"/>
    <x v="1"/>
    <x v="1"/>
    <d v="2014-03-06T00:00:00"/>
    <s v="Shipping Company A"/>
    <s v="Christina Lee"/>
    <s v="123 4th Street"/>
    <s v="New York"/>
    <s v="NY"/>
    <n v="99999"/>
    <s v="USA"/>
    <s v="Credit Card"/>
    <s v="Marmalade"/>
    <s v="Jams, Preserves"/>
    <n v="81"/>
    <n v="77"/>
    <n v="6237"/>
    <n v="642.41100000000006"/>
  </r>
  <r>
    <x v="62"/>
    <x v="31"/>
    <n v="4"/>
    <s v="Company D"/>
    <s v="123 4th Street"/>
    <s v="New York"/>
    <s v="NY"/>
    <n v="99999"/>
    <s v="USA"/>
    <x v="1"/>
    <x v="1"/>
    <d v="2014-03-06T00:00:00"/>
    <s v="Shipping Company A"/>
    <s v="Christina Lee"/>
    <s v="123 4th Street"/>
    <s v="New York"/>
    <s v="NY"/>
    <n v="99999"/>
    <s v="USA"/>
    <s v="Credit Card"/>
    <s v="Long Grain Rice"/>
    <s v="Grains"/>
    <n v="7"/>
    <n v="37"/>
    <n v="259"/>
    <n v="24.605"/>
  </r>
  <r>
    <x v="63"/>
    <x v="27"/>
    <n v="8"/>
    <s v="Company H"/>
    <s v="123 8th Street"/>
    <s v="Portland"/>
    <s v="OR"/>
    <n v="99999"/>
    <s v="USA"/>
    <x v="2"/>
    <x v="2"/>
    <d v="2014-03-10T00:00:00"/>
    <s v="Shipping Company C"/>
    <s v="Elizabeth Andersen"/>
    <s v="123 8th Street"/>
    <s v="Portland"/>
    <s v="OR"/>
    <n v="99999"/>
    <s v="USA"/>
    <s v="Credit Card"/>
    <s v="Mozzarella"/>
    <s v="Dairy Products"/>
    <n v="34.799999999999997"/>
    <n v="63"/>
    <n v="2192.3999999999996"/>
    <n v="217.04759999999999"/>
  </r>
  <r>
    <x v="64"/>
    <x v="32"/>
    <n v="3"/>
    <s v="Company C"/>
    <s v="123 3rd Street"/>
    <s v="Los Angelas"/>
    <s v="CA"/>
    <n v="99999"/>
    <s v="USA"/>
    <x v="0"/>
    <x v="0"/>
    <d v="2014-03-05T00:00:00"/>
    <s v="Shipping Company B"/>
    <s v="Thomas Axerr"/>
    <s v="123 3rd Street"/>
    <s v="Los Angelas"/>
    <s v="CA"/>
    <n v="99999"/>
    <s v="USA"/>
    <s v="Cash"/>
    <s v="Syrup"/>
    <s v="Condiments"/>
    <n v="10"/>
    <n v="48"/>
    <n v="480"/>
    <n v="48"/>
  </r>
  <r>
    <x v="65"/>
    <x v="32"/>
    <n v="3"/>
    <s v="Company C"/>
    <s v="123 3rd Street"/>
    <s v="Los Angelas"/>
    <s v="CA"/>
    <n v="99999"/>
    <s v="USA"/>
    <x v="0"/>
    <x v="0"/>
    <d v="2014-03-05T00:00:00"/>
    <s v="Shipping Company B"/>
    <s v="Thomas Axerr"/>
    <s v="123 3rd Street"/>
    <s v="Los Angelas"/>
    <s v="CA"/>
    <n v="99999"/>
    <s v="USA"/>
    <s v="Cash"/>
    <s v="Curry Sauce"/>
    <s v="Sauces"/>
    <n v="40"/>
    <n v="71"/>
    <n v="2840"/>
    <n v="295.36"/>
  </r>
  <r>
    <x v="66"/>
    <x v="33"/>
    <n v="10"/>
    <s v="Company J"/>
    <s v="123 10th Street"/>
    <s v="Chicago"/>
    <s v="IL"/>
    <n v="99999"/>
    <s v="USA"/>
    <x v="6"/>
    <x v="1"/>
    <d v="2014-03-12T00:00:00"/>
    <s v="Shipping Company B"/>
    <s v="Roland Wacker"/>
    <s v="123 10th Street"/>
    <s v="Chicago"/>
    <s v="IL"/>
    <n v="99999"/>
    <s v="USA"/>
    <s v="Credit Card"/>
    <s v="Almonds"/>
    <s v="Dried Fruit &amp; Nuts"/>
    <n v="10"/>
    <n v="55"/>
    <n v="550"/>
    <n v="55"/>
  </r>
  <r>
    <x v="67"/>
    <x v="33"/>
    <n v="10"/>
    <s v="Company J"/>
    <s v="123 10th Street"/>
    <s v="Chicago"/>
    <s v="IL"/>
    <n v="99999"/>
    <s v="USA"/>
    <x v="6"/>
    <x v="1"/>
    <m/>
    <s v="Shipping Company A"/>
    <s v="Roland Wacker"/>
    <s v="123 10th Street"/>
    <s v="Chicago"/>
    <s v="IL"/>
    <n v="99999"/>
    <s v="USA"/>
    <m/>
    <s v="Dried Plums"/>
    <s v="Dried Fruit &amp; Nuts"/>
    <n v="3.5"/>
    <n v="21"/>
    <n v="73.5"/>
    <n v="7.3500000000000005"/>
  </r>
  <r>
    <x v="68"/>
    <x v="34"/>
    <n v="11"/>
    <s v="Company K"/>
    <s v="123 11th Street"/>
    <s v="Miami"/>
    <s v="FL"/>
    <n v="99999"/>
    <s v="USA"/>
    <x v="5"/>
    <x v="3"/>
    <m/>
    <s v="Shipping Company C"/>
    <s v="Peter Krschne"/>
    <s v="123 11th Street"/>
    <s v="Miami"/>
    <s v="FL"/>
    <n v="99999"/>
    <s v="USA"/>
    <m/>
    <s v="Curry Sauce"/>
    <s v="Sauces"/>
    <n v="40"/>
    <n v="67"/>
    <n v="2680"/>
    <n v="270.68"/>
  </r>
  <r>
    <x v="69"/>
    <x v="23"/>
    <n v="1"/>
    <s v="Company A"/>
    <s v="123 1st Street"/>
    <s v="Seattle"/>
    <s v="WA"/>
    <n v="99999"/>
    <s v="USA"/>
    <x v="2"/>
    <x v="2"/>
    <m/>
    <s v="Shipping Company C"/>
    <s v="Anna Bedecs"/>
    <s v="123 1st Street"/>
    <s v="Seattle"/>
    <s v="WA"/>
    <n v="99999"/>
    <s v="USA"/>
    <m/>
    <s v="Crab Meat"/>
    <s v="Canned Meat"/>
    <n v="18.399999999999999"/>
    <n v="75"/>
    <n v="1380"/>
    <n v="138"/>
  </r>
  <r>
    <x v="70"/>
    <x v="35"/>
    <n v="28"/>
    <s v="Company BB"/>
    <s v="789 28th Street"/>
    <s v="Memphis"/>
    <s v="TN"/>
    <n v="99999"/>
    <s v="USA"/>
    <x v="5"/>
    <x v="3"/>
    <d v="2014-03-30T00:00:00"/>
    <s v="Shipping Company C"/>
    <s v="Amritansh Raghav"/>
    <s v="789 28th Street"/>
    <s v="Memphis"/>
    <s v="TN"/>
    <n v="99999"/>
    <s v="USA"/>
    <s v="Credit Card"/>
    <s v="Coffee"/>
    <s v="Beverages"/>
    <n v="46"/>
    <n v="17"/>
    <n v="782"/>
    <n v="80.546000000000006"/>
  </r>
  <r>
    <x v="71"/>
    <x v="36"/>
    <n v="4"/>
    <s v="Company D"/>
    <s v="123 4th Street"/>
    <s v="New York"/>
    <s v="NY"/>
    <n v="99999"/>
    <s v="USA"/>
    <x v="1"/>
    <x v="1"/>
    <d v="2014-04-06T00:00:00"/>
    <s v="Shipping Company A"/>
    <s v="Christina Lee"/>
    <s v="123 4th Street"/>
    <s v="New York"/>
    <s v="NY"/>
    <n v="99999"/>
    <s v="USA"/>
    <s v="Credit Card"/>
    <s v="Dried Plums"/>
    <s v="Dried Fruit &amp; Nuts"/>
    <n v="3.5"/>
    <n v="48"/>
    <n v="168"/>
    <n v="16.295999999999999"/>
  </r>
  <r>
    <x v="72"/>
    <x v="37"/>
    <n v="12"/>
    <s v="Company L"/>
    <s v="123 12th Street"/>
    <s v="Las Vegas"/>
    <s v="NV"/>
    <n v="99999"/>
    <s v="USA"/>
    <x v="0"/>
    <x v="0"/>
    <d v="2014-04-14T00:00:00"/>
    <s v="Shipping Company B"/>
    <s v="John Edwards"/>
    <s v="123 12th Street"/>
    <s v="Las Vegas"/>
    <s v="NV"/>
    <n v="99999"/>
    <s v="USA"/>
    <s v="Credit Card"/>
    <s v="Chai"/>
    <s v="Beverages"/>
    <n v="18"/>
    <n v="74"/>
    <n v="1332"/>
    <n v="137.19600000000003"/>
  </r>
  <r>
    <x v="73"/>
    <x v="37"/>
    <n v="12"/>
    <s v="Company L"/>
    <s v="123 12th Street"/>
    <s v="Las Vegas"/>
    <s v="NV"/>
    <n v="99999"/>
    <s v="USA"/>
    <x v="0"/>
    <x v="0"/>
    <d v="2014-04-14T00:00:00"/>
    <s v="Shipping Company B"/>
    <s v="John Edwards"/>
    <s v="123 12th Street"/>
    <s v="Las Vegas"/>
    <s v="NV"/>
    <n v="99999"/>
    <s v="USA"/>
    <s v="Credit Card"/>
    <s v="Coffee"/>
    <s v="Beverages"/>
    <n v="46"/>
    <n v="96"/>
    <n v="4416"/>
    <n v="428.35200000000003"/>
  </r>
  <r>
    <x v="74"/>
    <x v="38"/>
    <n v="8"/>
    <s v="Company H"/>
    <s v="123 8th Street"/>
    <s v="Portland"/>
    <s v="OR"/>
    <n v="99999"/>
    <s v="USA"/>
    <x v="2"/>
    <x v="2"/>
    <d v="2014-04-10T00:00:00"/>
    <s v="Shipping Company C"/>
    <s v="Elizabeth Andersen"/>
    <s v="123 8th Street"/>
    <s v="Portland"/>
    <s v="OR"/>
    <n v="99999"/>
    <s v="USA"/>
    <s v="Credit Card"/>
    <s v="Chocolate Biscuits Mix"/>
    <s v="Baked Goods &amp; Mixes"/>
    <n v="9.1999999999999993"/>
    <n v="12"/>
    <n v="110.39999999999999"/>
    <n v="11.3712"/>
  </r>
  <r>
    <x v="75"/>
    <x v="36"/>
    <n v="4"/>
    <s v="Company D"/>
    <s v="123 4th Street"/>
    <s v="New York"/>
    <s v="NY"/>
    <n v="99999"/>
    <s v="USA"/>
    <x v="1"/>
    <x v="1"/>
    <n v="41735"/>
    <s v="Shipping Company C"/>
    <s v="Christina Lee"/>
    <s v="123 4th Street"/>
    <s v="New York"/>
    <s v="NY"/>
    <n v="99999"/>
    <s v="USA"/>
    <s v="Check"/>
    <s v="Chocolate Biscuits Mix"/>
    <s v="Baked Goods &amp; Mixes"/>
    <n v="9.1999999999999993"/>
    <n v="62"/>
    <n v="570.4"/>
    <n v="58.751199999999997"/>
  </r>
  <r>
    <x v="76"/>
    <x v="39"/>
    <n v="29"/>
    <s v="Company CC"/>
    <s v="789 29th Street"/>
    <s v="Denver"/>
    <s v="CO"/>
    <n v="99999"/>
    <s v="USA"/>
    <x v="3"/>
    <x v="0"/>
    <n v="41760"/>
    <s v="Shipping Company B"/>
    <s v="Soo Jung Lee"/>
    <s v="789 29th Street"/>
    <s v="Denver"/>
    <s v="CO"/>
    <n v="99999"/>
    <s v="USA"/>
    <s v="Check"/>
    <s v="Chocolate"/>
    <s v="Candy"/>
    <n v="12.75"/>
    <n v="35"/>
    <n v="446.25"/>
    <n v="45.963750000000005"/>
  </r>
  <r>
    <x v="77"/>
    <x v="40"/>
    <n v="3"/>
    <s v="Company C"/>
    <s v="123 3rd Street"/>
    <s v="Los Angelas"/>
    <s v="CA"/>
    <n v="99999"/>
    <s v="USA"/>
    <x v="0"/>
    <x v="0"/>
    <n v="41734"/>
    <s v="Shipping Company B"/>
    <s v="Thomas Axerr"/>
    <s v="123 3rd Street"/>
    <s v="Los Angelas"/>
    <s v="CA"/>
    <n v="99999"/>
    <s v="USA"/>
    <s v="Cash"/>
    <s v="Clam Chowder"/>
    <s v="Soups"/>
    <n v="9.65"/>
    <n v="95"/>
    <n v="916.75"/>
    <n v="91.675000000000011"/>
  </r>
  <r>
    <x v="78"/>
    <x v="41"/>
    <n v="6"/>
    <s v="Company F"/>
    <s v="123 6th Street"/>
    <s v="Milwaukee"/>
    <s v="WI"/>
    <n v="99999"/>
    <s v="USA"/>
    <x v="4"/>
    <x v="2"/>
    <n v="41737"/>
    <s v="Shipping Company B"/>
    <s v="Francisco Pérez-Olaeta"/>
    <s v="123 6th Street"/>
    <s v="Milwaukee"/>
    <s v="WI"/>
    <n v="99999"/>
    <s v="USA"/>
    <s v="Credit Card"/>
    <s v="Curry Sauce"/>
    <s v="Sauces"/>
    <n v="40"/>
    <n v="17"/>
    <n v="680"/>
    <n v="68.680000000000007"/>
  </r>
  <r>
    <x v="79"/>
    <x v="42"/>
    <n v="28"/>
    <s v="Company BB"/>
    <s v="789 28th Street"/>
    <s v="Memphis"/>
    <s v="TN"/>
    <n v="99999"/>
    <s v="USA"/>
    <x v="5"/>
    <x v="3"/>
    <d v="2014-04-30T00:00:00"/>
    <s v="Shipping Company C"/>
    <s v="Amritansh Raghav"/>
    <s v="789 28th Street"/>
    <s v="Memphis"/>
    <s v="TN"/>
    <n v="99999"/>
    <s v="USA"/>
    <s v="Check"/>
    <s v="Coffee"/>
    <s v="Beverages"/>
    <n v="46"/>
    <n v="96"/>
    <n v="4416"/>
    <n v="463.68000000000006"/>
  </r>
  <r>
    <x v="80"/>
    <x v="38"/>
    <n v="8"/>
    <s v="Company H"/>
    <s v="123 8th Street"/>
    <s v="Portland"/>
    <s v="OR"/>
    <n v="99999"/>
    <s v="USA"/>
    <x v="2"/>
    <x v="2"/>
    <d v="2014-04-10T00:00:00"/>
    <s v="Shipping Company C"/>
    <s v="Elizabeth Andersen"/>
    <s v="123 8th Street"/>
    <s v="Portland"/>
    <s v="OR"/>
    <n v="99999"/>
    <s v="USA"/>
    <s v="Check"/>
    <s v="Chocolate"/>
    <s v="Candy"/>
    <n v="12.75"/>
    <n v="83"/>
    <n v="1058.25"/>
    <n v="102.65025"/>
  </r>
  <r>
    <x v="81"/>
    <x v="43"/>
    <n v="10"/>
    <s v="Company J"/>
    <s v="123 10th Street"/>
    <s v="Chicago"/>
    <s v="IL"/>
    <n v="99999"/>
    <s v="USA"/>
    <x v="6"/>
    <x v="1"/>
    <d v="2014-04-12T00:00:00"/>
    <s v="Shipping Company B"/>
    <s v="Roland Wacker"/>
    <s v="123 10th Street"/>
    <s v="Chicago"/>
    <s v="IL"/>
    <n v="99999"/>
    <s v="USA"/>
    <s v="Credit Card"/>
    <s v="Green Tea"/>
    <s v="Beverages"/>
    <n v="2.99"/>
    <n v="88"/>
    <n v="263.12"/>
    <n v="26.04888"/>
  </r>
  <r>
    <x v="82"/>
    <x v="44"/>
    <n v="7"/>
    <s v="Company G"/>
    <s v="123 7th Street"/>
    <s v="Boise"/>
    <s v="ID"/>
    <n v="99999"/>
    <s v="USA"/>
    <x v="2"/>
    <x v="2"/>
    <m/>
    <m/>
    <s v="Ming-Yang Xie"/>
    <s v="123 7th Street"/>
    <s v="Boise"/>
    <s v="ID"/>
    <n v="99999"/>
    <s v="USA"/>
    <m/>
    <s v="Coffee"/>
    <s v="Beverages"/>
    <n v="46"/>
    <n v="59"/>
    <n v="2714"/>
    <n v="284.97000000000003"/>
  </r>
  <r>
    <x v="83"/>
    <x v="43"/>
    <n v="10"/>
    <s v="Company J"/>
    <s v="123 10th Street"/>
    <s v="Chicago"/>
    <s v="IL"/>
    <n v="99999"/>
    <s v="USA"/>
    <x v="6"/>
    <x v="1"/>
    <d v="2014-04-12T00:00:00"/>
    <s v="Shipping Company A"/>
    <s v="Roland Wacker"/>
    <s v="123 10th Street"/>
    <s v="Chicago"/>
    <s v="IL"/>
    <n v="99999"/>
    <s v="USA"/>
    <m/>
    <s v="Boysenberry Spread"/>
    <s v="Jams, Preserves"/>
    <n v="25"/>
    <n v="27"/>
    <n v="675"/>
    <n v="68.849999999999994"/>
  </r>
  <r>
    <x v="84"/>
    <x v="43"/>
    <n v="10"/>
    <s v="Company J"/>
    <s v="123 10th Street"/>
    <s v="Chicago"/>
    <s v="IL"/>
    <n v="99999"/>
    <s v="USA"/>
    <x v="6"/>
    <x v="1"/>
    <d v="2014-04-12T00:00:00"/>
    <s v="Shipping Company A"/>
    <s v="Roland Wacker"/>
    <s v="123 10th Street"/>
    <s v="Chicago"/>
    <s v="IL"/>
    <n v="99999"/>
    <s v="USA"/>
    <m/>
    <s v="Cajun Seasoning"/>
    <s v="Condiments"/>
    <n v="22"/>
    <n v="37"/>
    <n v="814"/>
    <n v="85.470000000000013"/>
  </r>
  <r>
    <x v="85"/>
    <x v="43"/>
    <n v="10"/>
    <s v="Company J"/>
    <s v="123 10th Street"/>
    <s v="Chicago"/>
    <s v="IL"/>
    <n v="99999"/>
    <s v="USA"/>
    <x v="6"/>
    <x v="1"/>
    <d v="2014-04-12T00:00:00"/>
    <s v="Shipping Company A"/>
    <s v="Roland Wacker"/>
    <s v="123 10th Street"/>
    <s v="Chicago"/>
    <s v="IL"/>
    <n v="99999"/>
    <s v="USA"/>
    <m/>
    <s v="Chocolate Biscuits Mix"/>
    <s v="Baked Goods &amp; Mixes"/>
    <n v="9.1999999999999993"/>
    <n v="75"/>
    <n v="690"/>
    <n v="69"/>
  </r>
  <r>
    <x v="86"/>
    <x v="45"/>
    <n v="11"/>
    <s v="Company K"/>
    <s v="123 11th Street"/>
    <s v="Miami"/>
    <s v="FL"/>
    <n v="99999"/>
    <s v="USA"/>
    <x v="5"/>
    <x v="3"/>
    <m/>
    <s v="Shipping Company C"/>
    <s v="Peter Krschne"/>
    <s v="123 11th Street"/>
    <s v="Miami"/>
    <s v="FL"/>
    <n v="99999"/>
    <s v="USA"/>
    <m/>
    <s v="Dried Plums"/>
    <s v="Dried Fruit &amp; Nuts"/>
    <n v="3.5"/>
    <n v="71"/>
    <n v="248.5"/>
    <n v="24.104500000000002"/>
  </r>
  <r>
    <x v="87"/>
    <x v="45"/>
    <n v="11"/>
    <s v="Company K"/>
    <s v="123 11th Street"/>
    <s v="Miami"/>
    <s v="FL"/>
    <n v="99999"/>
    <s v="USA"/>
    <x v="5"/>
    <x v="3"/>
    <m/>
    <s v="Shipping Company C"/>
    <s v="Peter Krschne"/>
    <s v="123 11th Street"/>
    <s v="Miami"/>
    <s v="FL"/>
    <n v="99999"/>
    <s v="USA"/>
    <m/>
    <s v="Green Tea"/>
    <s v="Beverages"/>
    <n v="2.99"/>
    <n v="88"/>
    <n v="263.12"/>
    <n v="26.04888"/>
  </r>
  <r>
    <x v="88"/>
    <x v="46"/>
    <n v="1"/>
    <s v="Company A"/>
    <s v="123 1st Street"/>
    <s v="Seattle"/>
    <s v="WA"/>
    <n v="99999"/>
    <s v="USA"/>
    <x v="2"/>
    <x v="2"/>
    <m/>
    <m/>
    <s v="Anna Bedecs"/>
    <s v="123 1st Street"/>
    <s v="Seattle"/>
    <s v="WA"/>
    <n v="99999"/>
    <s v="USA"/>
    <m/>
    <s v="Chai"/>
    <s v="Beverages"/>
    <n v="18"/>
    <n v="55"/>
    <n v="990"/>
    <n v="97.02"/>
  </r>
  <r>
    <x v="89"/>
    <x v="47"/>
    <n v="29"/>
    <s v="Company CC"/>
    <s v="789 29th Street"/>
    <s v="Denver"/>
    <s v="CO"/>
    <n v="99999"/>
    <s v="USA"/>
    <x v="3"/>
    <x v="0"/>
    <d v="2014-05-31T00:00:00"/>
    <s v="Shipping Company B"/>
    <s v="Soo Jung Lee"/>
    <s v="789 29th Street"/>
    <s v="Denver"/>
    <s v="CO"/>
    <n v="99999"/>
    <s v="USA"/>
    <s v="Check"/>
    <s v="Chocolate"/>
    <s v="Candy"/>
    <n v="12.75"/>
    <n v="14"/>
    <n v="178.5"/>
    <n v="16.9575"/>
  </r>
  <r>
    <x v="90"/>
    <x v="48"/>
    <n v="3"/>
    <s v="Company C"/>
    <s v="123 3rd Street"/>
    <s v="Los Angelas"/>
    <s v="CA"/>
    <n v="99999"/>
    <s v="USA"/>
    <x v="0"/>
    <x v="0"/>
    <d v="2014-05-05T00:00:00"/>
    <s v="Shipping Company B"/>
    <s v="Thomas Axerr"/>
    <s v="123 3rd Street"/>
    <s v="Los Angelas"/>
    <s v="CA"/>
    <n v="99999"/>
    <s v="USA"/>
    <s v="Cash"/>
    <s v="Clam Chowder"/>
    <s v="Soups"/>
    <n v="9.65"/>
    <n v="43"/>
    <n v="414.95"/>
    <n v="42.324900000000007"/>
  </r>
  <r>
    <x v="91"/>
    <x v="49"/>
    <n v="6"/>
    <s v="Company F"/>
    <s v="123 6th Street"/>
    <s v="Milwaukee"/>
    <s v="WI"/>
    <n v="99999"/>
    <s v="USA"/>
    <x v="4"/>
    <x v="2"/>
    <n v="41767"/>
    <s v="Shipping Company B"/>
    <s v="Francisco Pérez-Olaeta"/>
    <s v="123 6th Street"/>
    <s v="Milwaukee"/>
    <s v="WI"/>
    <n v="99999"/>
    <s v="USA"/>
    <s v="Credit Card"/>
    <s v="Curry Sauce"/>
    <s v="Sauces"/>
    <n v="40"/>
    <n v="63"/>
    <n v="2520"/>
    <n v="254.52"/>
  </r>
  <r>
    <x v="92"/>
    <x v="50"/>
    <n v="28"/>
    <s v="Company BB"/>
    <s v="789 28th Street"/>
    <s v="Memphis"/>
    <s v="TN"/>
    <n v="99999"/>
    <s v="USA"/>
    <x v="5"/>
    <x v="3"/>
    <d v="2014-05-30T00:00:00"/>
    <s v="Shipping Company C"/>
    <s v="Amritansh Raghav"/>
    <s v="789 28th Street"/>
    <s v="Memphis"/>
    <s v="TN"/>
    <n v="99999"/>
    <s v="USA"/>
    <s v="Check"/>
    <s v="Coffee"/>
    <s v="Beverages"/>
    <n v="46"/>
    <n v="36"/>
    <n v="1656"/>
    <n v="165.60000000000002"/>
  </r>
  <r>
    <x v="93"/>
    <x v="51"/>
    <n v="8"/>
    <s v="Company H"/>
    <s v="123 8th Street"/>
    <s v="Portland"/>
    <s v="OR"/>
    <n v="99999"/>
    <s v="USA"/>
    <x v="2"/>
    <x v="2"/>
    <d v="2014-05-10T00:00:00"/>
    <s v="Shipping Company C"/>
    <s v="Elizabeth Andersen"/>
    <s v="123 8th Street"/>
    <s v="Portland"/>
    <s v="OR"/>
    <n v="99999"/>
    <s v="USA"/>
    <s v="Check"/>
    <s v="Chocolate"/>
    <s v="Candy"/>
    <n v="12.75"/>
    <n v="41"/>
    <n v="522.75"/>
    <n v="54.366000000000007"/>
  </r>
  <r>
    <x v="94"/>
    <x v="52"/>
    <n v="10"/>
    <s v="Company J"/>
    <s v="123 10th Street"/>
    <s v="Chicago"/>
    <s v="IL"/>
    <n v="99999"/>
    <s v="USA"/>
    <x v="6"/>
    <x v="1"/>
    <d v="2014-05-12T00:00:00"/>
    <s v="Shipping Company B"/>
    <s v="Roland Wacker"/>
    <s v="123 10th Street"/>
    <s v="Chicago"/>
    <s v="IL"/>
    <n v="99999"/>
    <s v="USA"/>
    <s v="Credit Card"/>
    <s v="Green Tea"/>
    <s v="Beverages"/>
    <n v="2.99"/>
    <n v="35"/>
    <n v="104.65"/>
    <n v="10.255700000000001"/>
  </r>
  <r>
    <x v="95"/>
    <x v="53"/>
    <n v="7"/>
    <s v="Company G"/>
    <s v="123 7th Street"/>
    <s v="Boise"/>
    <s v="ID"/>
    <n v="99999"/>
    <s v="USA"/>
    <x v="2"/>
    <x v="2"/>
    <m/>
    <m/>
    <s v="Ming-Yang Xie"/>
    <s v="123 7th Street"/>
    <s v="Boise"/>
    <s v="ID"/>
    <n v="99999"/>
    <s v="USA"/>
    <m/>
    <s v="Coffee"/>
    <s v="Beverages"/>
    <n v="46"/>
    <n v="31"/>
    <n v="1426"/>
    <n v="136.89599999999999"/>
  </r>
  <r>
    <x v="96"/>
    <x v="52"/>
    <n v="10"/>
    <s v="Company J"/>
    <s v="123 10th Street"/>
    <s v="Chicago"/>
    <s v="IL"/>
    <n v="99999"/>
    <s v="USA"/>
    <x v="6"/>
    <x v="1"/>
    <n v="41771"/>
    <s v="Shipping Company A"/>
    <s v="Roland Wacker"/>
    <s v="123 10th Street"/>
    <s v="Chicago"/>
    <s v="IL"/>
    <n v="99999"/>
    <s v="USA"/>
    <m/>
    <s v="Boysenberry Spread"/>
    <s v="Jams, Preserves"/>
    <n v="25"/>
    <n v="52"/>
    <n v="1300"/>
    <n v="123.5"/>
  </r>
  <r>
    <x v="97"/>
    <x v="52"/>
    <n v="10"/>
    <s v="Company J"/>
    <s v="123 10th Street"/>
    <s v="Chicago"/>
    <s v="IL"/>
    <n v="99999"/>
    <s v="USA"/>
    <x v="6"/>
    <x v="1"/>
    <n v="41771"/>
    <s v="Shipping Company A"/>
    <s v="Roland Wacker"/>
    <s v="123 10th Street"/>
    <s v="Chicago"/>
    <s v="IL"/>
    <n v="99999"/>
    <s v="USA"/>
    <m/>
    <s v="Cajun Seasoning"/>
    <s v="Condiments"/>
    <n v="22"/>
    <n v="30"/>
    <n v="660"/>
    <n v="67.320000000000007"/>
  </r>
  <r>
    <x v="98"/>
    <x v="52"/>
    <n v="10"/>
    <s v="Company J"/>
    <s v="123 10th Street"/>
    <s v="Chicago"/>
    <s v="IL"/>
    <n v="99999"/>
    <s v="USA"/>
    <x v="6"/>
    <x v="1"/>
    <d v="2014-05-12T00:00:00"/>
    <s v="Shipping Company A"/>
    <s v="Roland Wacker"/>
    <s v="123 10th Street"/>
    <s v="Chicago"/>
    <s v="IL"/>
    <n v="99999"/>
    <s v="USA"/>
    <m/>
    <s v="Chocolate Biscuits Mix"/>
    <s v="Baked Goods &amp; Mixes"/>
    <n v="9.1999999999999993"/>
    <n v="41"/>
    <n v="377.2"/>
    <n v="38.474400000000003"/>
  </r>
  <r>
    <x v="99"/>
    <x v="54"/>
    <n v="11"/>
    <s v="Company K"/>
    <s v="123 11th Street"/>
    <s v="Miami"/>
    <s v="FL"/>
    <n v="99999"/>
    <s v="USA"/>
    <x v="5"/>
    <x v="3"/>
    <m/>
    <s v="Shipping Company C"/>
    <s v="Peter Krschne"/>
    <s v="123 11th Street"/>
    <s v="Miami"/>
    <s v="FL"/>
    <n v="99999"/>
    <s v="USA"/>
    <m/>
    <s v="Dried Plums"/>
    <s v="Dried Fruit &amp; Nuts"/>
    <n v="3.5"/>
    <n v="44"/>
    <n v="154"/>
    <n v="15.246"/>
  </r>
  <r>
    <x v="100"/>
    <x v="54"/>
    <n v="11"/>
    <s v="Company K"/>
    <s v="123 11th Street"/>
    <s v="Miami"/>
    <s v="FL"/>
    <n v="99999"/>
    <s v="USA"/>
    <x v="5"/>
    <x v="3"/>
    <m/>
    <s v="Shipping Company C"/>
    <s v="Peter Krschne"/>
    <s v="123 11th Street"/>
    <s v="Miami"/>
    <s v="FL"/>
    <n v="99999"/>
    <s v="USA"/>
    <m/>
    <s v="Green Tea"/>
    <s v="Beverages"/>
    <n v="2.99"/>
    <n v="77"/>
    <n v="230.23000000000002"/>
    <n v="23.023000000000003"/>
  </r>
  <r>
    <x v="101"/>
    <x v="55"/>
    <n v="1"/>
    <s v="Company A"/>
    <s v="123 1st Street"/>
    <s v="Seattle"/>
    <s v="WA"/>
    <n v="99999"/>
    <s v="USA"/>
    <x v="2"/>
    <x v="2"/>
    <m/>
    <m/>
    <s v="Anna Bedecs"/>
    <s v="123 1st Street"/>
    <s v="Seattle"/>
    <s v="WA"/>
    <n v="99999"/>
    <s v="USA"/>
    <m/>
    <s v="Chai"/>
    <s v="Beverages"/>
    <n v="18"/>
    <n v="29"/>
    <n v="522"/>
    <n v="52.722000000000001"/>
  </r>
  <r>
    <x v="102"/>
    <x v="55"/>
    <n v="1"/>
    <s v="Company A"/>
    <s v="123 1st Street"/>
    <s v="Seattle"/>
    <s v="WA"/>
    <n v="99999"/>
    <s v="USA"/>
    <x v="2"/>
    <x v="2"/>
    <m/>
    <m/>
    <s v="Anna Bedecs"/>
    <s v="123 1st Street"/>
    <s v="Seattle"/>
    <s v="WA"/>
    <n v="99999"/>
    <s v="USA"/>
    <m/>
    <s v="Coffee"/>
    <s v="Beverages"/>
    <n v="46"/>
    <n v="77"/>
    <n v="3542"/>
    <n v="368.36800000000005"/>
  </r>
  <r>
    <x v="103"/>
    <x v="55"/>
    <n v="1"/>
    <s v="Company A"/>
    <s v="123 1st Street"/>
    <s v="Seattle"/>
    <s v="WA"/>
    <n v="99999"/>
    <s v="USA"/>
    <x v="2"/>
    <x v="2"/>
    <m/>
    <m/>
    <s v="Anna Bedecs"/>
    <s v="123 1st Street"/>
    <s v="Seattle"/>
    <s v="WA"/>
    <n v="99999"/>
    <s v="USA"/>
    <m/>
    <s v="Green Tea"/>
    <s v="Beverages"/>
    <n v="2.99"/>
    <n v="73"/>
    <n v="218.27"/>
    <n v="21.827000000000002"/>
  </r>
  <r>
    <x v="104"/>
    <x v="50"/>
    <n v="28"/>
    <s v="Company BB"/>
    <s v="789 28th Street"/>
    <s v="Memphis"/>
    <s v="TN"/>
    <n v="99999"/>
    <s v="USA"/>
    <x v="5"/>
    <x v="3"/>
    <n v="41789"/>
    <s v="Shipping Company C"/>
    <s v="Amritansh Raghav"/>
    <s v="789 28th Street"/>
    <s v="Memphis"/>
    <s v="TN"/>
    <n v="99999"/>
    <s v="USA"/>
    <s v="Credit Card"/>
    <s v="Clam Chowder"/>
    <s v="Soups"/>
    <n v="9.65"/>
    <n v="74"/>
    <n v="714.1"/>
    <n v="67.839500000000001"/>
  </r>
  <r>
    <x v="105"/>
    <x v="50"/>
    <n v="28"/>
    <s v="Company BB"/>
    <s v="789 28th Street"/>
    <s v="Memphis"/>
    <s v="TN"/>
    <n v="99999"/>
    <s v="USA"/>
    <x v="5"/>
    <x v="3"/>
    <d v="2014-05-30T00:00:00"/>
    <s v="Shipping Company C"/>
    <s v="Amritansh Raghav"/>
    <s v="789 28th Street"/>
    <s v="Memphis"/>
    <s v="TN"/>
    <n v="99999"/>
    <s v="USA"/>
    <s v="Credit Card"/>
    <s v="Crab Meat"/>
    <s v="Canned Meat"/>
    <n v="18.399999999999999"/>
    <n v="25"/>
    <n v="459.99999999999994"/>
    <n v="46.46"/>
  </r>
  <r>
    <x v="106"/>
    <x v="56"/>
    <n v="9"/>
    <s v="Company I"/>
    <s v="123 9th Street"/>
    <s v="Salt Lake City"/>
    <s v="UT"/>
    <n v="99999"/>
    <s v="USA"/>
    <x v="7"/>
    <x v="0"/>
    <d v="2014-05-11T00:00:00"/>
    <s v="Shipping Company A"/>
    <s v="Sven Mortensen"/>
    <s v="123 9th Street"/>
    <s v="Salt Lake City"/>
    <s v="UT"/>
    <n v="99999"/>
    <s v="USA"/>
    <s v="Check"/>
    <s v="Ravioli"/>
    <s v="Pasta"/>
    <n v="19.5"/>
    <n v="82"/>
    <n v="1599"/>
    <n v="153.50399999999999"/>
  </r>
  <r>
    <x v="107"/>
    <x v="56"/>
    <n v="9"/>
    <s v="Company I"/>
    <s v="123 9th Street"/>
    <s v="Salt Lake City"/>
    <s v="UT"/>
    <n v="99999"/>
    <s v="USA"/>
    <x v="7"/>
    <x v="0"/>
    <d v="2014-05-11T00:00:00"/>
    <s v="Shipping Company A"/>
    <s v="Sven Mortensen"/>
    <s v="123 9th Street"/>
    <s v="Salt Lake City"/>
    <s v="UT"/>
    <n v="99999"/>
    <s v="USA"/>
    <s v="Check"/>
    <s v="Mozzarella"/>
    <s v="Dairy Products"/>
    <n v="34.799999999999997"/>
    <n v="37"/>
    <n v="1287.5999999999999"/>
    <n v="132.62279999999998"/>
  </r>
  <r>
    <x v="108"/>
    <x v="49"/>
    <n v="6"/>
    <s v="Company F"/>
    <s v="123 6th Street"/>
    <s v="Milwaukee"/>
    <s v="WI"/>
    <n v="99999"/>
    <s v="USA"/>
    <x v="4"/>
    <x v="2"/>
    <n v="41767"/>
    <s v="Shipping Company B"/>
    <s v="Francisco Pérez-Olaeta"/>
    <s v="123 6th Street"/>
    <s v="Milwaukee"/>
    <s v="WI"/>
    <n v="99999"/>
    <s v="USA"/>
    <s v="Credit Card"/>
    <s v="Beer"/>
    <s v="Beverages"/>
    <n v="14"/>
    <n v="84"/>
    <n v="1176"/>
    <n v="112.896"/>
  </r>
  <r>
    <x v="109"/>
    <x v="51"/>
    <n v="8"/>
    <s v="Company H"/>
    <s v="123 8th Street"/>
    <s v="Portland"/>
    <s v="OR"/>
    <n v="99999"/>
    <s v="USA"/>
    <x v="2"/>
    <x v="2"/>
    <n v="41769"/>
    <s v="Shipping Company B"/>
    <s v="Elizabeth Andersen"/>
    <s v="123 8th Street"/>
    <s v="Portland"/>
    <s v="OR"/>
    <n v="99999"/>
    <s v="USA"/>
    <s v="Check"/>
    <s v="Curry Sauce"/>
    <s v="Sauces"/>
    <n v="40"/>
    <n v="73"/>
    <n v="2920"/>
    <n v="283.24"/>
  </r>
  <r>
    <x v="110"/>
    <x v="51"/>
    <n v="8"/>
    <s v="Company H"/>
    <s v="123 8th Street"/>
    <s v="Portland"/>
    <s v="OR"/>
    <n v="99999"/>
    <s v="USA"/>
    <x v="2"/>
    <x v="2"/>
    <n v="41769"/>
    <s v="Shipping Company B"/>
    <s v="Elizabeth Andersen"/>
    <s v="123 8th Street"/>
    <s v="Portland"/>
    <s v="OR"/>
    <n v="99999"/>
    <s v="USA"/>
    <s v="Check"/>
    <s v="Chocolate Biscuits Mix"/>
    <s v="Baked Goods &amp; Mixes"/>
    <n v="9.1999999999999993"/>
    <n v="51"/>
    <n v="469.2"/>
    <n v="44.573999999999998"/>
  </r>
  <r>
    <x v="111"/>
    <x v="57"/>
    <n v="25"/>
    <s v="Company Y"/>
    <s v="789 25th Street"/>
    <s v="Chicago"/>
    <s v="IL"/>
    <n v="99999"/>
    <s v="USA"/>
    <x v="6"/>
    <x v="1"/>
    <n v="41786"/>
    <s v="Shipping Company A"/>
    <s v="John Rodman"/>
    <s v="789 25th Street"/>
    <s v="Chicago"/>
    <s v="IL"/>
    <n v="99999"/>
    <s v="USA"/>
    <s v="Cash"/>
    <s v="Scones"/>
    <s v="Baked Goods &amp; Mixes"/>
    <n v="10"/>
    <n v="66"/>
    <n v="660"/>
    <n v="68.64"/>
  </r>
  <r>
    <x v="112"/>
    <x v="58"/>
    <n v="26"/>
    <s v="Company Z"/>
    <s v="789 26th Street"/>
    <s v="Miami"/>
    <s v="FL"/>
    <n v="99999"/>
    <s v="USA"/>
    <x v="5"/>
    <x v="3"/>
    <n v="41787"/>
    <s v="Shipping Company C"/>
    <s v="Run Liu"/>
    <s v="789 26th Street"/>
    <s v="Miami"/>
    <s v="FL"/>
    <n v="99999"/>
    <s v="USA"/>
    <s v="Credit Card"/>
    <s v="Olive Oil"/>
    <s v="Oil"/>
    <n v="21.35"/>
    <n v="36"/>
    <n v="768.6"/>
    <n v="74.554200000000009"/>
  </r>
  <r>
    <x v="113"/>
    <x v="58"/>
    <n v="26"/>
    <s v="Company Z"/>
    <s v="789 26th Street"/>
    <s v="Miami"/>
    <s v="FL"/>
    <n v="99999"/>
    <s v="USA"/>
    <x v="5"/>
    <x v="3"/>
    <d v="2014-05-28T00:00:00"/>
    <s v="Shipping Company C"/>
    <s v="Run Liu"/>
    <s v="789 26th Street"/>
    <s v="Miami"/>
    <s v="FL"/>
    <n v="99999"/>
    <s v="USA"/>
    <s v="Credit Card"/>
    <s v="Clam Chowder"/>
    <s v="Soups"/>
    <n v="9.65"/>
    <n v="87"/>
    <n v="839.55000000000007"/>
    <n v="87.313200000000009"/>
  </r>
  <r>
    <x v="114"/>
    <x v="58"/>
    <n v="26"/>
    <s v="Company Z"/>
    <s v="789 26th Street"/>
    <s v="Miami"/>
    <s v="FL"/>
    <n v="99999"/>
    <s v="USA"/>
    <x v="5"/>
    <x v="3"/>
    <d v="2014-05-28T00:00:00"/>
    <s v="Shipping Company C"/>
    <s v="Run Liu"/>
    <s v="789 26th Street"/>
    <s v="Miami"/>
    <s v="FL"/>
    <n v="99999"/>
    <s v="USA"/>
    <s v="Credit Card"/>
    <s v="Crab Meat"/>
    <s v="Canned Meat"/>
    <n v="18.399999999999999"/>
    <n v="64"/>
    <n v="1177.5999999999999"/>
    <n v="115.40479999999999"/>
  </r>
  <r>
    <x v="115"/>
    <x v="47"/>
    <n v="29"/>
    <s v="Company CC"/>
    <s v="789 29th Street"/>
    <s v="Denver"/>
    <s v="CO"/>
    <n v="99999"/>
    <s v="USA"/>
    <x v="3"/>
    <x v="0"/>
    <d v="2014-05-31T00:00:00"/>
    <s v="Shipping Company B"/>
    <s v="Soo Jung Lee"/>
    <s v="789 29th Street"/>
    <s v="Denver"/>
    <s v="CO"/>
    <n v="99999"/>
    <s v="USA"/>
    <s v="Check"/>
    <s v="Beer"/>
    <s v="Beverages"/>
    <n v="14"/>
    <n v="21"/>
    <n v="294"/>
    <n v="30.870000000000005"/>
  </r>
  <r>
    <x v="116"/>
    <x v="49"/>
    <n v="6"/>
    <s v="Company F"/>
    <s v="123 6th Street"/>
    <s v="Milwaukee"/>
    <s v="WI"/>
    <n v="99999"/>
    <s v="USA"/>
    <x v="4"/>
    <x v="2"/>
    <d v="2014-05-08T00:00:00"/>
    <s v="Shipping Company C"/>
    <s v="Francisco Pérez-Olaeta"/>
    <s v="123 6th Street"/>
    <s v="Milwaukee"/>
    <s v="WI"/>
    <n v="99999"/>
    <s v="USA"/>
    <s v="Check"/>
    <s v="Chocolate"/>
    <s v="Candy"/>
    <n v="12.75"/>
    <n v="19"/>
    <n v="242.25"/>
    <n v="24.46725"/>
  </r>
  <r>
    <x v="117"/>
    <x v="59"/>
    <n v="4"/>
    <s v="Company D"/>
    <s v="123 4th Street"/>
    <s v="New York"/>
    <s v="NY"/>
    <n v="99999"/>
    <s v="USA"/>
    <x v="1"/>
    <x v="1"/>
    <d v="2014-05-06T00:00:00"/>
    <s v="Shipping Company A"/>
    <s v="Christina Lee"/>
    <s v="123 4th Street"/>
    <s v="New York"/>
    <s v="NY"/>
    <n v="99999"/>
    <s v="USA"/>
    <s v="Credit Card"/>
    <s v="Marmalade"/>
    <s v="Jams, Preserves"/>
    <n v="81"/>
    <n v="23"/>
    <n v="1863"/>
    <n v="195.61500000000001"/>
  </r>
  <r>
    <x v="118"/>
    <x v="59"/>
    <n v="4"/>
    <s v="Company D"/>
    <s v="123 4th Street"/>
    <s v="New York"/>
    <s v="NY"/>
    <n v="99999"/>
    <s v="USA"/>
    <x v="1"/>
    <x v="1"/>
    <d v="2014-05-06T00:00:00"/>
    <s v="Shipping Company A"/>
    <s v="Christina Lee"/>
    <s v="123 4th Street"/>
    <s v="New York"/>
    <s v="NY"/>
    <n v="99999"/>
    <s v="USA"/>
    <s v="Credit Card"/>
    <s v="Long Grain Rice"/>
    <s v="Grains"/>
    <n v="7"/>
    <n v="72"/>
    <n v="504"/>
    <n v="51.912000000000006"/>
  </r>
  <r>
    <x v="119"/>
    <x v="51"/>
    <n v="8"/>
    <s v="Company H"/>
    <s v="123 8th Street"/>
    <s v="Portland"/>
    <s v="OR"/>
    <n v="99999"/>
    <s v="USA"/>
    <x v="2"/>
    <x v="2"/>
    <d v="2014-05-10T00:00:00"/>
    <s v="Shipping Company C"/>
    <s v="Elizabeth Andersen"/>
    <s v="123 8th Street"/>
    <s v="Portland"/>
    <s v="OR"/>
    <n v="99999"/>
    <s v="USA"/>
    <s v="Credit Card"/>
    <s v="Mozzarella"/>
    <s v="Dairy Products"/>
    <n v="34.799999999999997"/>
    <n v="22"/>
    <n v="765.59999999999991"/>
    <n v="75.02879999999999"/>
  </r>
  <r>
    <x v="120"/>
    <x v="48"/>
    <n v="3"/>
    <s v="Company C"/>
    <s v="123 3rd Street"/>
    <s v="Los Angelas"/>
    <s v="CA"/>
    <n v="99999"/>
    <s v="USA"/>
    <x v="0"/>
    <x v="0"/>
    <d v="2014-05-05T00:00:00"/>
    <s v="Shipping Company B"/>
    <s v="Thomas Axerr"/>
    <s v="123 3rd Street"/>
    <s v="Los Angelas"/>
    <s v="CA"/>
    <n v="99999"/>
    <s v="USA"/>
    <s v="Cash"/>
    <s v="Syrup"/>
    <s v="Condiments"/>
    <n v="10"/>
    <n v="82"/>
    <n v="820"/>
    <n v="85.28"/>
  </r>
  <r>
    <x v="121"/>
    <x v="48"/>
    <n v="3"/>
    <s v="Company C"/>
    <s v="123 3rd Street"/>
    <s v="Los Angelas"/>
    <s v="CA"/>
    <n v="99999"/>
    <s v="USA"/>
    <x v="0"/>
    <x v="0"/>
    <d v="2014-05-05T00:00:00"/>
    <s v="Shipping Company B"/>
    <s v="Thomas Axerr"/>
    <s v="123 3rd Street"/>
    <s v="Los Angelas"/>
    <s v="CA"/>
    <n v="99999"/>
    <s v="USA"/>
    <s v="Cash"/>
    <s v="Curry Sauce"/>
    <s v="Sauces"/>
    <n v="40"/>
    <n v="98"/>
    <n v="3920"/>
    <n v="411.6"/>
  </r>
  <r>
    <x v="122"/>
    <x v="60"/>
    <n v="7"/>
    <s v="Company G"/>
    <s v="123 7th Street"/>
    <s v="Boise"/>
    <s v="ID"/>
    <n v="99999"/>
    <s v="USA"/>
    <x v="2"/>
    <x v="2"/>
    <m/>
    <m/>
    <s v="Ming-Yang Xie"/>
    <s v="123 7th Street"/>
    <s v="Boise"/>
    <s v="ID"/>
    <n v="99999"/>
    <s v="USA"/>
    <m/>
    <s v="Coffee"/>
    <s v="Beverages"/>
    <n v="46"/>
    <n v="71"/>
    <n v="3266"/>
    <n v="310.27"/>
  </r>
  <r>
    <x v="123"/>
    <x v="61"/>
    <n v="10"/>
    <s v="Company J"/>
    <s v="123 10th Street"/>
    <s v="Chicago"/>
    <s v="IL"/>
    <n v="99999"/>
    <s v="USA"/>
    <x v="6"/>
    <x v="1"/>
    <d v="2014-06-12T00:00:00"/>
    <s v="Shipping Company A"/>
    <s v="Roland Wacker"/>
    <s v="123 10th Street"/>
    <s v="Chicago"/>
    <s v="IL"/>
    <n v="99999"/>
    <s v="USA"/>
    <m/>
    <s v="Boysenberry Spread"/>
    <s v="Jams, Preserves"/>
    <n v="25"/>
    <n v="40"/>
    <n v="1000"/>
    <n v="105"/>
  </r>
  <r>
    <x v="124"/>
    <x v="61"/>
    <n v="10"/>
    <s v="Company J"/>
    <s v="123 10th Street"/>
    <s v="Chicago"/>
    <s v="IL"/>
    <n v="99999"/>
    <s v="USA"/>
    <x v="6"/>
    <x v="1"/>
    <d v="2014-06-12T00:00:00"/>
    <s v="Shipping Company A"/>
    <s v="Roland Wacker"/>
    <s v="123 10th Street"/>
    <s v="Chicago"/>
    <s v="IL"/>
    <n v="99999"/>
    <s v="USA"/>
    <m/>
    <s v="Cajun Seasoning"/>
    <s v="Condiments"/>
    <n v="22"/>
    <n v="80"/>
    <n v="1760"/>
    <n v="172.48"/>
  </r>
  <r>
    <x v="125"/>
    <x v="61"/>
    <n v="10"/>
    <s v="Company J"/>
    <s v="123 10th Street"/>
    <s v="Chicago"/>
    <s v="IL"/>
    <n v="99999"/>
    <s v="USA"/>
    <x v="6"/>
    <x v="1"/>
    <d v="2014-06-12T00:00:00"/>
    <s v="Shipping Company A"/>
    <s v="Roland Wacker"/>
    <s v="123 10th Street"/>
    <s v="Chicago"/>
    <s v="IL"/>
    <n v="99999"/>
    <s v="USA"/>
    <m/>
    <s v="Chocolate Biscuits Mix"/>
    <s v="Baked Goods &amp; Mixes"/>
    <n v="9.1999999999999993"/>
    <n v="38"/>
    <n v="349.59999999999997"/>
    <n v="33.211999999999996"/>
  </r>
  <r>
    <x v="126"/>
    <x v="62"/>
    <n v="11"/>
    <s v="Company K"/>
    <s v="123 11th Street"/>
    <s v="Miami"/>
    <s v="FL"/>
    <n v="99999"/>
    <s v="USA"/>
    <x v="5"/>
    <x v="3"/>
    <m/>
    <s v="Shipping Company C"/>
    <s v="Peter Krschne"/>
    <s v="123 11th Street"/>
    <s v="Miami"/>
    <s v="FL"/>
    <n v="99999"/>
    <s v="USA"/>
    <m/>
    <s v="Dried Plums"/>
    <s v="Dried Fruit &amp; Nuts"/>
    <n v="3.5"/>
    <n v="28"/>
    <n v="98"/>
    <n v="10.290000000000001"/>
  </r>
  <r>
    <x v="127"/>
    <x v="62"/>
    <n v="11"/>
    <s v="Company K"/>
    <s v="123 11th Street"/>
    <s v="Miami"/>
    <s v="FL"/>
    <n v="99999"/>
    <s v="USA"/>
    <x v="5"/>
    <x v="3"/>
    <m/>
    <s v="Shipping Company C"/>
    <s v="Peter Krschne"/>
    <s v="123 11th Street"/>
    <s v="Miami"/>
    <s v="FL"/>
    <n v="99999"/>
    <s v="USA"/>
    <m/>
    <s v="Green Tea"/>
    <s v="Beverages"/>
    <n v="2.99"/>
    <n v="60"/>
    <n v="179.4"/>
    <n v="17.581200000000003"/>
  </r>
  <r>
    <x v="128"/>
    <x v="63"/>
    <n v="1"/>
    <s v="Company A"/>
    <s v="123 1st Street"/>
    <s v="Seattle"/>
    <s v="WA"/>
    <n v="99999"/>
    <s v="USA"/>
    <x v="2"/>
    <x v="2"/>
    <m/>
    <m/>
    <s v="Anna Bedecs"/>
    <s v="123 1st Street"/>
    <s v="Seattle"/>
    <s v="WA"/>
    <n v="99999"/>
    <s v="USA"/>
    <m/>
    <s v="Chai"/>
    <s v="Beverages"/>
    <n v="18"/>
    <n v="33"/>
    <n v="594"/>
    <n v="58.212000000000003"/>
  </r>
  <r>
    <x v="129"/>
    <x v="63"/>
    <n v="1"/>
    <s v="Company A"/>
    <s v="123 1st Street"/>
    <s v="Seattle"/>
    <s v="WA"/>
    <n v="99999"/>
    <s v="USA"/>
    <x v="2"/>
    <x v="2"/>
    <m/>
    <m/>
    <s v="Anna Bedecs"/>
    <s v="123 1st Street"/>
    <s v="Seattle"/>
    <s v="WA"/>
    <n v="99999"/>
    <s v="USA"/>
    <m/>
    <s v="Coffee"/>
    <s v="Beverages"/>
    <n v="46"/>
    <n v="22"/>
    <n v="1012"/>
    <n v="101.2"/>
  </r>
  <r>
    <x v="130"/>
    <x v="63"/>
    <n v="1"/>
    <s v="Company A"/>
    <s v="123 1st Street"/>
    <s v="Seattle"/>
    <s v="WA"/>
    <n v="99999"/>
    <s v="USA"/>
    <x v="2"/>
    <x v="2"/>
    <m/>
    <m/>
    <s v="Anna Bedecs"/>
    <s v="123 1st Street"/>
    <s v="Seattle"/>
    <s v="WA"/>
    <n v="99999"/>
    <s v="USA"/>
    <m/>
    <s v="Green Tea"/>
    <s v="Beverages"/>
    <n v="2.99"/>
    <n v="51"/>
    <n v="152.49"/>
    <n v="14.944020000000002"/>
  </r>
  <r>
    <x v="131"/>
    <x v="64"/>
    <n v="28"/>
    <s v="Company BB"/>
    <s v="789 28th Street"/>
    <s v="Memphis"/>
    <s v="TN"/>
    <n v="99999"/>
    <s v="USA"/>
    <x v="5"/>
    <x v="3"/>
    <d v="2014-06-30T00:00:00"/>
    <s v="Shipping Company C"/>
    <s v="Amritansh Raghav"/>
    <s v="789 28th Street"/>
    <s v="Memphis"/>
    <s v="TN"/>
    <n v="99999"/>
    <s v="USA"/>
    <s v="Credit Card"/>
    <s v="Clam Chowder"/>
    <s v="Soups"/>
    <n v="9.65"/>
    <n v="60"/>
    <n v="579"/>
    <n v="57.321000000000005"/>
  </r>
  <r>
    <x v="132"/>
    <x v="64"/>
    <n v="28"/>
    <s v="Company BB"/>
    <s v="789 28th Street"/>
    <s v="Memphis"/>
    <s v="TN"/>
    <n v="99999"/>
    <s v="USA"/>
    <x v="5"/>
    <x v="3"/>
    <d v="2014-06-30T00:00:00"/>
    <s v="Shipping Company C"/>
    <s v="Amritansh Raghav"/>
    <s v="789 28th Street"/>
    <s v="Memphis"/>
    <s v="TN"/>
    <n v="99999"/>
    <s v="USA"/>
    <s v="Credit Card"/>
    <s v="Crab Meat"/>
    <s v="Canned Meat"/>
    <n v="18.399999999999999"/>
    <n v="98"/>
    <n v="1803.1999999999998"/>
    <n v="183.9264"/>
  </r>
  <r>
    <x v="133"/>
    <x v="65"/>
    <n v="9"/>
    <s v="Company I"/>
    <s v="123 9th Street"/>
    <s v="Salt Lake City"/>
    <s v="UT"/>
    <n v="99999"/>
    <s v="USA"/>
    <x v="7"/>
    <x v="0"/>
    <d v="2014-06-11T00:00:00"/>
    <s v="Shipping Company A"/>
    <s v="Sven Mortensen"/>
    <s v="123 9th Street"/>
    <s v="Salt Lake City"/>
    <s v="UT"/>
    <n v="99999"/>
    <s v="USA"/>
    <s v="Check"/>
    <s v="Ravioli"/>
    <s v="Pasta"/>
    <n v="19.5"/>
    <n v="27"/>
    <n v="526.5"/>
    <n v="51.070500000000003"/>
  </r>
  <r>
    <x v="134"/>
    <x v="65"/>
    <n v="9"/>
    <s v="Company I"/>
    <s v="123 9th Street"/>
    <s v="Salt Lake City"/>
    <s v="UT"/>
    <n v="99999"/>
    <s v="USA"/>
    <x v="7"/>
    <x v="0"/>
    <d v="2014-06-11T00:00:00"/>
    <s v="Shipping Company A"/>
    <s v="Sven Mortensen"/>
    <s v="123 9th Street"/>
    <s v="Salt Lake City"/>
    <s v="UT"/>
    <n v="99999"/>
    <s v="USA"/>
    <s v="Check"/>
    <s v="Mozzarella"/>
    <s v="Dairy Products"/>
    <n v="34.799999999999997"/>
    <n v="88"/>
    <n v="3062.3999999999996"/>
    <n v="303.17759999999993"/>
  </r>
  <r>
    <x v="135"/>
    <x v="66"/>
    <n v="6"/>
    <s v="Company F"/>
    <s v="123 6th Street"/>
    <s v="Milwaukee"/>
    <s v="WI"/>
    <n v="99999"/>
    <s v="USA"/>
    <x v="4"/>
    <x v="2"/>
    <d v="2014-06-08T00:00:00"/>
    <s v="Shipping Company B"/>
    <s v="Francisco Pérez-Olaeta"/>
    <s v="123 6th Street"/>
    <s v="Milwaukee"/>
    <s v="WI"/>
    <n v="99999"/>
    <s v="USA"/>
    <s v="Credit Card"/>
    <s v="Beer"/>
    <s v="Beverages"/>
    <n v="14"/>
    <n v="65"/>
    <n v="910"/>
    <n v="95.55"/>
  </r>
  <r>
    <x v="136"/>
    <x v="67"/>
    <n v="8"/>
    <s v="Company H"/>
    <s v="123 8th Street"/>
    <s v="Portland"/>
    <s v="OR"/>
    <n v="99999"/>
    <s v="USA"/>
    <x v="2"/>
    <x v="2"/>
    <d v="2014-06-10T00:00:00"/>
    <s v="Shipping Company B"/>
    <s v="Elizabeth Andersen"/>
    <s v="123 8th Street"/>
    <s v="Portland"/>
    <s v="OR"/>
    <n v="99999"/>
    <s v="USA"/>
    <s v="Check"/>
    <s v="Curry Sauce"/>
    <s v="Sauces"/>
    <n v="40"/>
    <n v="38"/>
    <n v="1520"/>
    <n v="148.96"/>
  </r>
  <r>
    <x v="137"/>
    <x v="67"/>
    <n v="8"/>
    <s v="Company H"/>
    <s v="123 8th Street"/>
    <s v="Portland"/>
    <s v="OR"/>
    <n v="99999"/>
    <s v="USA"/>
    <x v="2"/>
    <x v="2"/>
    <n v="41800"/>
    <s v="Shipping Company B"/>
    <s v="Elizabeth Andersen"/>
    <s v="123 8th Street"/>
    <s v="Portland"/>
    <s v="OR"/>
    <n v="99999"/>
    <s v="USA"/>
    <s v="Check"/>
    <s v="Chocolate Biscuits Mix"/>
    <s v="Baked Goods &amp; Mixes"/>
    <n v="9.1999999999999993"/>
    <n v="80"/>
    <n v="736"/>
    <n v="70.656000000000006"/>
  </r>
  <r>
    <x v="138"/>
    <x v="68"/>
    <n v="25"/>
    <s v="Company Y"/>
    <s v="789 25th Street"/>
    <s v="Chicago"/>
    <s v="IL"/>
    <n v="99999"/>
    <s v="USA"/>
    <x v="6"/>
    <x v="1"/>
    <d v="2014-06-27T00:00:00"/>
    <s v="Shipping Company A"/>
    <s v="John Rodman"/>
    <s v="789 25th Street"/>
    <s v="Chicago"/>
    <s v="IL"/>
    <n v="99999"/>
    <s v="USA"/>
    <s v="Cash"/>
    <s v="Scones"/>
    <s v="Baked Goods &amp; Mixes"/>
    <n v="10"/>
    <n v="49"/>
    <n v="490"/>
    <n v="47.04"/>
  </r>
  <r>
    <x v="139"/>
    <x v="69"/>
    <n v="26"/>
    <s v="Company Z"/>
    <s v="789 26th Street"/>
    <s v="Miami"/>
    <s v="FL"/>
    <n v="99999"/>
    <s v="USA"/>
    <x v="5"/>
    <x v="3"/>
    <d v="2014-06-28T00:00:00"/>
    <s v="Shipping Company C"/>
    <s v="Run Liu"/>
    <s v="789 26th Street"/>
    <s v="Miami"/>
    <s v="FL"/>
    <n v="99999"/>
    <s v="USA"/>
    <s v="Credit Card"/>
    <s v="Olive Oil"/>
    <s v="Oil"/>
    <n v="21.35"/>
    <n v="90"/>
    <n v="1921.5000000000002"/>
    <n v="186.38550000000004"/>
  </r>
  <r>
    <x v="140"/>
    <x v="69"/>
    <n v="26"/>
    <s v="Company Z"/>
    <s v="789 26th Street"/>
    <s v="Miami"/>
    <s v="FL"/>
    <n v="99999"/>
    <s v="USA"/>
    <x v="5"/>
    <x v="3"/>
    <d v="2014-06-28T00:00:00"/>
    <s v="Shipping Company C"/>
    <s v="Run Liu"/>
    <s v="789 26th Street"/>
    <s v="Miami"/>
    <s v="FL"/>
    <n v="99999"/>
    <s v="USA"/>
    <s v="Credit Card"/>
    <s v="Clam Chowder"/>
    <s v="Soups"/>
    <n v="9.65"/>
    <n v="60"/>
    <n v="579"/>
    <n v="59.637000000000008"/>
  </r>
  <r>
    <x v="141"/>
    <x v="69"/>
    <n v="26"/>
    <s v="Company Z"/>
    <s v="789 26th Street"/>
    <s v="Miami"/>
    <s v="FL"/>
    <n v="99999"/>
    <s v="USA"/>
    <x v="5"/>
    <x v="3"/>
    <n v="41818"/>
    <s v="Shipping Company C"/>
    <s v="Run Liu"/>
    <s v="789 26th Street"/>
    <s v="Miami"/>
    <s v="FL"/>
    <n v="99999"/>
    <s v="USA"/>
    <s v="Credit Card"/>
    <s v="Crab Meat"/>
    <s v="Canned Meat"/>
    <n v="18.399999999999999"/>
    <n v="39"/>
    <n v="717.59999999999991"/>
    <n v="71.759999999999991"/>
  </r>
  <r>
    <x v="142"/>
    <x v="70"/>
    <n v="29"/>
    <s v="Company CC"/>
    <s v="789 29th Street"/>
    <s v="Denver"/>
    <s v="CO"/>
    <n v="99999"/>
    <s v="USA"/>
    <x v="3"/>
    <x v="0"/>
    <n v="41821"/>
    <s v="Shipping Company B"/>
    <s v="Soo Jung Lee"/>
    <s v="789 29th Street"/>
    <s v="Denver"/>
    <s v="CO"/>
    <n v="99999"/>
    <s v="USA"/>
    <s v="Check"/>
    <s v="Beer"/>
    <s v="Beverages"/>
    <n v="14"/>
    <n v="79"/>
    <n v="1106"/>
    <n v="113.91800000000001"/>
  </r>
  <r>
    <x v="143"/>
    <x v="66"/>
    <n v="6"/>
    <s v="Company F"/>
    <s v="123 6th Street"/>
    <s v="Milwaukee"/>
    <s v="WI"/>
    <n v="99999"/>
    <s v="USA"/>
    <x v="4"/>
    <x v="2"/>
    <n v="41798"/>
    <s v="Shipping Company C"/>
    <s v="Francisco Pérez-Olaeta"/>
    <s v="123 6th Street"/>
    <s v="Milwaukee"/>
    <s v="WI"/>
    <n v="99999"/>
    <s v="USA"/>
    <s v="Check"/>
    <s v="Chocolate"/>
    <s v="Candy"/>
    <n v="12.75"/>
    <n v="44"/>
    <n v="561"/>
    <n v="57.222000000000001"/>
  </r>
  <r>
    <x v="144"/>
    <x v="71"/>
    <n v="4"/>
    <s v="Company D"/>
    <s v="123 4th Street"/>
    <s v="New York"/>
    <s v="NY"/>
    <n v="99999"/>
    <s v="USA"/>
    <x v="1"/>
    <x v="1"/>
    <n v="41796"/>
    <s v="Shipping Company A"/>
    <s v="Christina Lee"/>
    <s v="123 4th Street"/>
    <s v="New York"/>
    <s v="NY"/>
    <n v="99999"/>
    <s v="USA"/>
    <s v="Credit Card"/>
    <s v="Marmalade"/>
    <s v="Jams, Preserves"/>
    <n v="81"/>
    <n v="98"/>
    <n v="7938"/>
    <n v="769.98599999999999"/>
  </r>
  <r>
    <x v="145"/>
    <x v="71"/>
    <n v="4"/>
    <s v="Company D"/>
    <s v="123 4th Street"/>
    <s v="New York"/>
    <s v="NY"/>
    <n v="99999"/>
    <s v="USA"/>
    <x v="1"/>
    <x v="1"/>
    <n v="41796"/>
    <s v="Shipping Company A"/>
    <s v="Christina Lee"/>
    <s v="123 4th Street"/>
    <s v="New York"/>
    <s v="NY"/>
    <n v="99999"/>
    <s v="USA"/>
    <s v="Credit Card"/>
    <s v="Long Grain Rice"/>
    <s v="Grains"/>
    <n v="7"/>
    <n v="61"/>
    <n v="427"/>
    <n v="42.273000000000003"/>
  </r>
  <r>
    <x v="146"/>
    <x v="67"/>
    <n v="8"/>
    <s v="Company H"/>
    <s v="123 8th Street"/>
    <s v="Portland"/>
    <s v="OR"/>
    <n v="99999"/>
    <s v="USA"/>
    <x v="2"/>
    <x v="2"/>
    <d v="2014-06-10T00:00:00"/>
    <s v="Shipping Company C"/>
    <s v="Elizabeth Andersen"/>
    <s v="123 8th Street"/>
    <s v="Portland"/>
    <s v="OR"/>
    <n v="99999"/>
    <s v="USA"/>
    <s v="Credit Card"/>
    <s v="Mozzarella"/>
    <s v="Dairy Products"/>
    <n v="34.799999999999997"/>
    <n v="30"/>
    <n v="1044"/>
    <n v="109.62"/>
  </r>
  <r>
    <x v="147"/>
    <x v="72"/>
    <n v="3"/>
    <s v="Company C"/>
    <s v="123 3rd Street"/>
    <s v="Los Angelas"/>
    <s v="CA"/>
    <n v="99999"/>
    <s v="USA"/>
    <x v="0"/>
    <x v="0"/>
    <d v="2014-06-05T00:00:00"/>
    <s v="Shipping Company B"/>
    <s v="Thomas Axerr"/>
    <s v="123 3rd Street"/>
    <s v="Los Angelas"/>
    <s v="CA"/>
    <n v="99999"/>
    <s v="USA"/>
    <s v="Cash"/>
    <s v="Syrup"/>
    <s v="Condiments"/>
    <n v="10"/>
    <n v="24"/>
    <n v="240"/>
    <n v="25.200000000000003"/>
  </r>
  <r>
    <x v="148"/>
    <x v="72"/>
    <n v="3"/>
    <s v="Company C"/>
    <s v="123 3rd Street"/>
    <s v="Los Angelas"/>
    <s v="CA"/>
    <n v="99999"/>
    <s v="USA"/>
    <x v="0"/>
    <x v="0"/>
    <d v="2014-06-05T00:00:00"/>
    <s v="Shipping Company B"/>
    <s v="Thomas Axerr"/>
    <s v="123 3rd Street"/>
    <s v="Los Angelas"/>
    <s v="CA"/>
    <n v="99999"/>
    <s v="USA"/>
    <s v="Cash"/>
    <s v="Curry Sauce"/>
    <s v="Sauces"/>
    <n v="40"/>
    <n v="28"/>
    <n v="1120"/>
    <n v="109.75999999999999"/>
  </r>
  <r>
    <x v="149"/>
    <x v="61"/>
    <n v="10"/>
    <s v="Company J"/>
    <s v="123 10th Street"/>
    <s v="Chicago"/>
    <s v="IL"/>
    <n v="99999"/>
    <s v="USA"/>
    <x v="6"/>
    <x v="1"/>
    <d v="2014-06-12T00:00:00"/>
    <s v="Shipping Company B"/>
    <s v="Roland Wacker"/>
    <s v="123 10th Street"/>
    <s v="Chicago"/>
    <s v="IL"/>
    <n v="99999"/>
    <s v="USA"/>
    <s v="Credit Card"/>
    <s v="Almonds"/>
    <s v="Dried Fruit &amp; Nuts"/>
    <n v="10"/>
    <n v="74"/>
    <n v="740"/>
    <n v="71.78"/>
  </r>
  <r>
    <x v="150"/>
    <x v="61"/>
    <n v="10"/>
    <s v="Company J"/>
    <s v="123 10th Street"/>
    <s v="Chicago"/>
    <s v="IL"/>
    <n v="99999"/>
    <s v="USA"/>
    <x v="6"/>
    <x v="1"/>
    <m/>
    <s v="Shipping Company A"/>
    <s v="Roland Wacker"/>
    <s v="123 10th Street"/>
    <s v="Chicago"/>
    <s v="IL"/>
    <n v="99999"/>
    <s v="USA"/>
    <m/>
    <s v="Dried Plums"/>
    <s v="Dried Fruit &amp; Nuts"/>
    <n v="3.5"/>
    <n v="90"/>
    <n v="315"/>
    <n v="30.24"/>
  </r>
  <r>
    <x v="151"/>
    <x v="62"/>
    <n v="11"/>
    <s v="Company K"/>
    <s v="123 11th Street"/>
    <s v="Miami"/>
    <s v="FL"/>
    <n v="99999"/>
    <s v="USA"/>
    <x v="5"/>
    <x v="3"/>
    <m/>
    <s v="Shipping Company C"/>
    <s v="Peter Krschne"/>
    <s v="123 11th Street"/>
    <s v="Miami"/>
    <s v="FL"/>
    <n v="99999"/>
    <s v="USA"/>
    <m/>
    <s v="Curry Sauce"/>
    <s v="Sauces"/>
    <n v="40"/>
    <n v="27"/>
    <n v="1080"/>
    <n v="111.24000000000001"/>
  </r>
  <r>
    <x v="152"/>
    <x v="63"/>
    <n v="1"/>
    <s v="Company A"/>
    <s v="123 1st Street"/>
    <s v="Seattle"/>
    <s v="WA"/>
    <n v="99999"/>
    <s v="USA"/>
    <x v="2"/>
    <x v="2"/>
    <m/>
    <s v="Shipping Company C"/>
    <s v="Anna Bedecs"/>
    <s v="123 1st Street"/>
    <s v="Seattle"/>
    <s v="WA"/>
    <n v="99999"/>
    <s v="USA"/>
    <m/>
    <s v="Crab Meat"/>
    <s v="Canned Meat"/>
    <n v="18.399999999999999"/>
    <n v="71"/>
    <n v="1306.3999999999999"/>
    <n v="137.172"/>
  </r>
  <r>
    <x v="153"/>
    <x v="64"/>
    <n v="28"/>
    <s v="Company BB"/>
    <s v="789 28th Street"/>
    <s v="Memphis"/>
    <s v="TN"/>
    <n v="99999"/>
    <s v="USA"/>
    <x v="5"/>
    <x v="3"/>
    <d v="2014-06-30T00:00:00"/>
    <s v="Shipping Company C"/>
    <s v="Amritansh Raghav"/>
    <s v="789 28th Street"/>
    <s v="Memphis"/>
    <s v="TN"/>
    <n v="99999"/>
    <s v="USA"/>
    <s v="Credit Card"/>
    <s v="Coffee"/>
    <s v="Beverages"/>
    <n v="46"/>
    <n v="74"/>
    <n v="3404"/>
    <n v="340.40000000000003"/>
  </r>
  <r>
    <x v="154"/>
    <x v="65"/>
    <n v="9"/>
    <s v="Company I"/>
    <s v="123 9th Street"/>
    <s v="Salt Lake City"/>
    <s v="UT"/>
    <n v="99999"/>
    <s v="USA"/>
    <x v="7"/>
    <x v="0"/>
    <d v="2014-06-11T00:00:00"/>
    <s v="Shipping Company A"/>
    <s v="Sven Mortensen"/>
    <s v="123 9th Street"/>
    <s v="Salt Lake City"/>
    <s v="UT"/>
    <n v="99999"/>
    <s v="USA"/>
    <s v="Check"/>
    <s v="Clam Chowder"/>
    <s v="Soups"/>
    <n v="9.65"/>
    <n v="76"/>
    <n v="733.4"/>
    <n v="72.6066"/>
  </r>
  <r>
    <x v="155"/>
    <x v="66"/>
    <n v="6"/>
    <s v="Company F"/>
    <s v="123 6th Street"/>
    <s v="Milwaukee"/>
    <s v="WI"/>
    <n v="99999"/>
    <s v="USA"/>
    <x v="4"/>
    <x v="2"/>
    <d v="2014-06-08T00:00:00"/>
    <s v="Shipping Company B"/>
    <s v="Francisco Pérez-Olaeta"/>
    <s v="123 6th Street"/>
    <s v="Milwaukee"/>
    <s v="WI"/>
    <n v="99999"/>
    <s v="USA"/>
    <s v="Credit Card"/>
    <s v="Chocolate"/>
    <s v="Candy"/>
    <n v="12.75"/>
    <n v="96"/>
    <n v="1224"/>
    <n v="123.62400000000001"/>
  </r>
  <r>
    <x v="156"/>
    <x v="67"/>
    <n v="8"/>
    <s v="Company H"/>
    <s v="123 8th Street"/>
    <s v="Portland"/>
    <s v="OR"/>
    <n v="99999"/>
    <s v="USA"/>
    <x v="2"/>
    <x v="2"/>
    <d v="2014-06-10T00:00:00"/>
    <s v="Shipping Company B"/>
    <s v="Elizabeth Andersen"/>
    <s v="123 8th Street"/>
    <s v="Portland"/>
    <s v="OR"/>
    <n v="99999"/>
    <s v="USA"/>
    <s v="Check"/>
    <s v="Chocolate"/>
    <s v="Candy"/>
    <n v="12.75"/>
    <n v="92"/>
    <n v="1173"/>
    <n v="116.12700000000001"/>
  </r>
  <r>
    <x v="157"/>
    <x v="68"/>
    <n v="25"/>
    <s v="Company Y"/>
    <s v="789 25th Street"/>
    <s v="Chicago"/>
    <s v="IL"/>
    <n v="99999"/>
    <s v="USA"/>
    <x v="6"/>
    <x v="1"/>
    <d v="2014-06-27T00:00:00"/>
    <s v="Shipping Company A"/>
    <s v="John Rodman"/>
    <s v="789 25th Street"/>
    <s v="Chicago"/>
    <s v="IL"/>
    <n v="99999"/>
    <s v="USA"/>
    <s v="Cash"/>
    <s v="Cajun Seasoning"/>
    <s v="Condiments"/>
    <n v="22"/>
    <n v="93"/>
    <n v="2046"/>
    <n v="200.50800000000001"/>
  </r>
  <r>
    <x v="158"/>
    <x v="69"/>
    <n v="26"/>
    <s v="Company Z"/>
    <s v="789 26th Street"/>
    <s v="Miami"/>
    <s v="FL"/>
    <n v="99999"/>
    <s v="USA"/>
    <x v="5"/>
    <x v="3"/>
    <d v="2014-06-28T00:00:00"/>
    <s v="Shipping Company C"/>
    <s v="Run Liu"/>
    <s v="789 26th Street"/>
    <s v="Miami"/>
    <s v="FL"/>
    <n v="99999"/>
    <s v="USA"/>
    <s v="Credit Card"/>
    <s v="Boysenberry Spread"/>
    <s v="Jams, Preserves"/>
    <n v="25"/>
    <n v="18"/>
    <n v="450"/>
    <n v="42.75"/>
  </r>
  <r>
    <x v="159"/>
    <x v="70"/>
    <n v="29"/>
    <s v="Company CC"/>
    <s v="789 29th Street"/>
    <s v="Denver"/>
    <s v="CO"/>
    <n v="99999"/>
    <s v="USA"/>
    <x v="3"/>
    <x v="0"/>
    <d v="2014-07-01T00:00:00"/>
    <s v="Shipping Company B"/>
    <s v="Soo Jung Lee"/>
    <s v="789 29th Street"/>
    <s v="Denver"/>
    <s v="CO"/>
    <n v="99999"/>
    <s v="USA"/>
    <s v="Check"/>
    <s v="Fruit Cocktail"/>
    <s v="Fruit &amp; Veg"/>
    <n v="39"/>
    <n v="98"/>
    <n v="3822"/>
    <n v="397.48800000000006"/>
  </r>
  <r>
    <x v="160"/>
    <x v="66"/>
    <n v="6"/>
    <s v="Company F"/>
    <s v="123 6th Street"/>
    <s v="Milwaukee"/>
    <s v="WI"/>
    <n v="99999"/>
    <s v="USA"/>
    <x v="4"/>
    <x v="2"/>
    <d v="2014-06-08T00:00:00"/>
    <s v="Shipping Company C"/>
    <s v="Francisco Pérez-Olaeta"/>
    <s v="123 6th Street"/>
    <s v="Milwaukee"/>
    <s v="WI"/>
    <n v="99999"/>
    <s v="USA"/>
    <s v="Check"/>
    <s v="Dried Pears"/>
    <s v="Dried Fruit &amp; Nuts"/>
    <n v="30"/>
    <n v="46"/>
    <n v="1380"/>
    <n v="135.24"/>
  </r>
  <r>
    <x v="161"/>
    <x v="66"/>
    <n v="6"/>
    <s v="Company F"/>
    <s v="123 6th Street"/>
    <s v="Milwaukee"/>
    <s v="WI"/>
    <n v="99999"/>
    <s v="USA"/>
    <x v="4"/>
    <x v="2"/>
    <d v="2014-06-08T00:00:00"/>
    <s v="Shipping Company C"/>
    <s v="Francisco Pérez-Olaeta"/>
    <s v="123 6th Street"/>
    <s v="Milwaukee"/>
    <s v="WI"/>
    <n v="99999"/>
    <s v="USA"/>
    <s v="Check"/>
    <s v="Dried Apples"/>
    <s v="Dried Fruit &amp; Nuts"/>
    <n v="53"/>
    <n v="14"/>
    <n v="742"/>
    <n v="74.2"/>
  </r>
  <r>
    <x v="162"/>
    <x v="71"/>
    <n v="4"/>
    <s v="Company D"/>
    <s v="123 4th Street"/>
    <s v="New York"/>
    <s v="NY"/>
    <n v="99999"/>
    <s v="USA"/>
    <x v="1"/>
    <x v="1"/>
    <m/>
    <m/>
    <s v="Christina Lee"/>
    <s v="123 4th Street"/>
    <s v="New York"/>
    <s v="NY"/>
    <n v="99999"/>
    <s v="USA"/>
    <m/>
    <s v="Gnocchi"/>
    <s v="Pasta"/>
    <n v="38"/>
    <n v="85"/>
    <n v="3230"/>
    <n v="319.77"/>
  </r>
  <r>
    <x v="163"/>
    <x v="72"/>
    <n v="3"/>
    <s v="Company C"/>
    <s v="123 3rd Street"/>
    <s v="Los Angelas"/>
    <s v="CA"/>
    <n v="99999"/>
    <s v="USA"/>
    <x v="0"/>
    <x v="0"/>
    <m/>
    <m/>
    <s v="Thomas Axerr"/>
    <s v="123 3rd Street"/>
    <s v="Los Angelas"/>
    <s v="CA"/>
    <n v="99999"/>
    <s v="USA"/>
    <m/>
    <s v="Green Tea"/>
    <s v="Beverages"/>
    <n v="2.99"/>
    <n v="88"/>
    <n v="263.12"/>
    <n v="25.522639999999999"/>
  </r>
  <r>
    <x v="164"/>
    <x v="73"/>
    <n v="1"/>
    <s v="Company A"/>
    <s v="123 1st Street"/>
    <s v="Seattle"/>
    <s v="WA"/>
    <n v="99999"/>
    <s v="USA"/>
    <x v="2"/>
    <x v="2"/>
    <m/>
    <m/>
    <s v="Anna Bedecs"/>
    <s v="123 1st Street"/>
    <s v="Seattle"/>
    <s v="WA"/>
    <n v="99999"/>
    <s v="USA"/>
    <m/>
    <s v="Green Tea"/>
    <s v="Beverages"/>
    <n v="2.99"/>
    <n v="81"/>
    <n v="242.19000000000003"/>
    <n v="23.976810000000004"/>
  </r>
  <r>
    <x v="165"/>
    <x v="74"/>
    <n v="28"/>
    <s v="Company BB"/>
    <s v="789 28th Street"/>
    <s v="Memphis"/>
    <s v="TN"/>
    <n v="99999"/>
    <s v="USA"/>
    <x v="5"/>
    <x v="3"/>
    <d v="2014-07-30T00:00:00"/>
    <s v="Shipping Company C"/>
    <s v="Amritansh Raghav"/>
    <s v="789 28th Street"/>
    <s v="Memphis"/>
    <s v="TN"/>
    <n v="99999"/>
    <s v="USA"/>
    <s v="Credit Card"/>
    <s v="Clam Chowder"/>
    <s v="Soups"/>
    <n v="9.65"/>
    <n v="33"/>
    <n v="318.45"/>
    <n v="30.252749999999999"/>
  </r>
  <r>
    <x v="166"/>
    <x v="74"/>
    <n v="28"/>
    <s v="Company BB"/>
    <s v="789 28th Street"/>
    <s v="Memphis"/>
    <s v="TN"/>
    <n v="99999"/>
    <s v="USA"/>
    <x v="5"/>
    <x v="3"/>
    <d v="2014-07-30T00:00:00"/>
    <s v="Shipping Company C"/>
    <s v="Amritansh Raghav"/>
    <s v="789 28th Street"/>
    <s v="Memphis"/>
    <s v="TN"/>
    <n v="99999"/>
    <s v="USA"/>
    <s v="Credit Card"/>
    <s v="Crab Meat"/>
    <s v="Canned Meat"/>
    <n v="18.399999999999999"/>
    <n v="47"/>
    <n v="864.8"/>
    <n v="90.804000000000002"/>
  </r>
  <r>
    <x v="167"/>
    <x v="75"/>
    <n v="9"/>
    <s v="Company I"/>
    <s v="123 9th Street"/>
    <s v="Salt Lake City"/>
    <s v="UT"/>
    <n v="99999"/>
    <s v="USA"/>
    <x v="7"/>
    <x v="0"/>
    <d v="2014-07-11T00:00:00"/>
    <s v="Shipping Company A"/>
    <s v="Sven Mortensen"/>
    <s v="123 9th Street"/>
    <s v="Salt Lake City"/>
    <s v="UT"/>
    <n v="99999"/>
    <s v="USA"/>
    <s v="Check"/>
    <s v="Ravioli"/>
    <s v="Pasta"/>
    <n v="19.5"/>
    <n v="61"/>
    <n v="1189.5"/>
    <n v="123.70800000000001"/>
  </r>
  <r>
    <x v="168"/>
    <x v="75"/>
    <n v="9"/>
    <s v="Company I"/>
    <s v="123 9th Street"/>
    <s v="Salt Lake City"/>
    <s v="UT"/>
    <n v="99999"/>
    <s v="USA"/>
    <x v="7"/>
    <x v="0"/>
    <d v="2014-07-11T00:00:00"/>
    <s v="Shipping Company A"/>
    <s v="Sven Mortensen"/>
    <s v="123 9th Street"/>
    <s v="Salt Lake City"/>
    <s v="UT"/>
    <n v="99999"/>
    <s v="USA"/>
    <s v="Check"/>
    <s v="Mozzarella"/>
    <s v="Dairy Products"/>
    <n v="34.799999999999997"/>
    <n v="27"/>
    <n v="939.59999999999991"/>
    <n v="95.839199999999991"/>
  </r>
  <r>
    <x v="169"/>
    <x v="76"/>
    <n v="6"/>
    <s v="Company F"/>
    <s v="123 6th Street"/>
    <s v="Milwaukee"/>
    <s v="WI"/>
    <n v="99999"/>
    <s v="USA"/>
    <x v="4"/>
    <x v="2"/>
    <d v="2014-07-08T00:00:00"/>
    <s v="Shipping Company B"/>
    <s v="Francisco Pérez-Olaeta"/>
    <s v="123 6th Street"/>
    <s v="Milwaukee"/>
    <s v="WI"/>
    <n v="99999"/>
    <s v="USA"/>
    <s v="Credit Card"/>
    <s v="Beer"/>
    <s v="Beverages"/>
    <n v="14"/>
    <n v="84"/>
    <n v="1176"/>
    <n v="118.77600000000001"/>
  </r>
  <r>
    <x v="170"/>
    <x v="77"/>
    <n v="8"/>
    <s v="Company H"/>
    <s v="123 8th Street"/>
    <s v="Portland"/>
    <s v="OR"/>
    <n v="99999"/>
    <s v="USA"/>
    <x v="2"/>
    <x v="2"/>
    <d v="2014-07-10T00:00:00"/>
    <s v="Shipping Company B"/>
    <s v="Elizabeth Andersen"/>
    <s v="123 8th Street"/>
    <s v="Portland"/>
    <s v="OR"/>
    <n v="99999"/>
    <s v="USA"/>
    <s v="Check"/>
    <s v="Curry Sauce"/>
    <s v="Sauces"/>
    <n v="40"/>
    <n v="91"/>
    <n v="3640"/>
    <n v="360.36"/>
  </r>
  <r>
    <x v="171"/>
    <x v="77"/>
    <n v="8"/>
    <s v="Company H"/>
    <s v="123 8th Street"/>
    <s v="Portland"/>
    <s v="OR"/>
    <n v="99999"/>
    <s v="USA"/>
    <x v="2"/>
    <x v="2"/>
    <d v="2014-07-10T00:00:00"/>
    <s v="Shipping Company B"/>
    <s v="Elizabeth Andersen"/>
    <s v="123 8th Street"/>
    <s v="Portland"/>
    <s v="OR"/>
    <n v="99999"/>
    <s v="USA"/>
    <s v="Check"/>
    <s v="Chocolate Biscuits Mix"/>
    <s v="Baked Goods &amp; Mixes"/>
    <n v="9.1999999999999993"/>
    <n v="36"/>
    <n v="331.2"/>
    <n v="34.444800000000001"/>
  </r>
  <r>
    <x v="172"/>
    <x v="78"/>
    <n v="25"/>
    <s v="Company Y"/>
    <s v="789 25th Street"/>
    <s v="Chicago"/>
    <s v="IL"/>
    <n v="99999"/>
    <s v="USA"/>
    <x v="6"/>
    <x v="1"/>
    <n v="41847"/>
    <s v="Shipping Company A"/>
    <s v="John Rodman"/>
    <s v="789 25th Street"/>
    <s v="Chicago"/>
    <s v="IL"/>
    <n v="99999"/>
    <s v="USA"/>
    <s v="Cash"/>
    <s v="Scones"/>
    <s v="Baked Goods &amp; Mixes"/>
    <n v="10"/>
    <n v="34"/>
    <n v="340"/>
    <n v="34.340000000000003"/>
  </r>
  <r>
    <x v="173"/>
    <x v="79"/>
    <n v="26"/>
    <s v="Company Z"/>
    <s v="789 26th Street"/>
    <s v="Miami"/>
    <s v="FL"/>
    <n v="99999"/>
    <s v="USA"/>
    <x v="5"/>
    <x v="3"/>
    <n v="41848"/>
    <s v="Shipping Company C"/>
    <s v="Run Liu"/>
    <s v="789 26th Street"/>
    <s v="Miami"/>
    <s v="FL"/>
    <n v="99999"/>
    <s v="USA"/>
    <s v="Credit Card"/>
    <s v="Olive Oil"/>
    <s v="Oil"/>
    <n v="21.35"/>
    <n v="81"/>
    <n v="1729.3500000000001"/>
    <n v="178.12305000000003"/>
  </r>
  <r>
    <x v="174"/>
    <x v="79"/>
    <n v="26"/>
    <s v="Company Z"/>
    <s v="789 26th Street"/>
    <s v="Miami"/>
    <s v="FL"/>
    <n v="99999"/>
    <s v="USA"/>
    <x v="5"/>
    <x v="3"/>
    <n v="41848"/>
    <s v="Shipping Company C"/>
    <s v="Run Liu"/>
    <s v="789 26th Street"/>
    <s v="Miami"/>
    <s v="FL"/>
    <n v="99999"/>
    <s v="USA"/>
    <s v="Credit Card"/>
    <s v="Clam Chowder"/>
    <s v="Soups"/>
    <n v="9.65"/>
    <n v="25"/>
    <n v="241.25"/>
    <n v="23.401250000000001"/>
  </r>
  <r>
    <x v="175"/>
    <x v="79"/>
    <n v="26"/>
    <s v="Company Z"/>
    <s v="789 26th Street"/>
    <s v="Miami"/>
    <s v="FL"/>
    <n v="99999"/>
    <s v="USA"/>
    <x v="5"/>
    <x v="3"/>
    <n v="41848"/>
    <s v="Shipping Company C"/>
    <s v="Run Liu"/>
    <s v="789 26th Street"/>
    <s v="Miami"/>
    <s v="FL"/>
    <n v="99999"/>
    <s v="USA"/>
    <s v="Credit Card"/>
    <s v="Crab Meat"/>
    <s v="Canned Meat"/>
    <n v="18.399999999999999"/>
    <n v="12"/>
    <n v="220.79999999999998"/>
    <n v="22.08"/>
  </r>
  <r>
    <x v="176"/>
    <x v="80"/>
    <n v="29"/>
    <s v="Company CC"/>
    <s v="789 29th Street"/>
    <s v="Denver"/>
    <s v="CO"/>
    <n v="99999"/>
    <s v="USA"/>
    <x v="3"/>
    <x v="0"/>
    <d v="2014-07-31T00:00:00"/>
    <s v="Shipping Company B"/>
    <s v="Soo Jung Lee"/>
    <s v="789 29th Street"/>
    <s v="Denver"/>
    <s v="CO"/>
    <n v="99999"/>
    <s v="USA"/>
    <s v="Check"/>
    <s v="Beer"/>
    <s v="Beverages"/>
    <n v="14"/>
    <n v="23"/>
    <n v="322"/>
    <n v="30.912000000000003"/>
  </r>
  <r>
    <x v="177"/>
    <x v="76"/>
    <n v="6"/>
    <s v="Company F"/>
    <s v="123 6th Street"/>
    <s v="Milwaukee"/>
    <s v="WI"/>
    <n v="99999"/>
    <s v="USA"/>
    <x v="4"/>
    <x v="2"/>
    <d v="2014-07-08T00:00:00"/>
    <s v="Shipping Company C"/>
    <s v="Francisco Pérez-Olaeta"/>
    <s v="123 6th Street"/>
    <s v="Milwaukee"/>
    <s v="WI"/>
    <n v="99999"/>
    <s v="USA"/>
    <s v="Check"/>
    <s v="Chocolate"/>
    <s v="Candy"/>
    <n v="12.75"/>
    <n v="76"/>
    <n v="969"/>
    <n v="97.869"/>
  </r>
  <r>
    <x v="178"/>
    <x v="81"/>
    <n v="4"/>
    <s v="Company D"/>
    <s v="123 4th Street"/>
    <s v="New York"/>
    <s v="NY"/>
    <n v="99999"/>
    <s v="USA"/>
    <x v="1"/>
    <x v="1"/>
    <d v="2014-07-06T00:00:00"/>
    <s v="Shipping Company A"/>
    <s v="Christina Lee"/>
    <s v="123 4th Street"/>
    <s v="New York"/>
    <s v="NY"/>
    <n v="99999"/>
    <s v="USA"/>
    <s v="Credit Card"/>
    <s v="Marmalade"/>
    <s v="Jams, Preserves"/>
    <n v="81"/>
    <n v="55"/>
    <n v="4455"/>
    <n v="445.5"/>
  </r>
  <r>
    <x v="179"/>
    <x v="81"/>
    <n v="4"/>
    <s v="Company D"/>
    <s v="123 4th Street"/>
    <s v="New York"/>
    <s v="NY"/>
    <n v="99999"/>
    <s v="USA"/>
    <x v="1"/>
    <x v="1"/>
    <d v="2014-07-06T00:00:00"/>
    <s v="Shipping Company A"/>
    <s v="Christina Lee"/>
    <s v="123 4th Street"/>
    <s v="New York"/>
    <s v="NY"/>
    <n v="99999"/>
    <s v="USA"/>
    <s v="Credit Card"/>
    <s v="Long Grain Rice"/>
    <s v="Grains"/>
    <n v="7"/>
    <n v="19"/>
    <n v="133"/>
    <n v="12.901"/>
  </r>
  <r>
    <x v="180"/>
    <x v="77"/>
    <n v="8"/>
    <s v="Company H"/>
    <s v="123 8th Street"/>
    <s v="Portland"/>
    <s v="OR"/>
    <n v="99999"/>
    <s v="USA"/>
    <x v="2"/>
    <x v="2"/>
    <d v="2014-07-10T00:00:00"/>
    <s v="Shipping Company C"/>
    <s v="Elizabeth Andersen"/>
    <s v="123 8th Street"/>
    <s v="Portland"/>
    <s v="OR"/>
    <n v="99999"/>
    <s v="USA"/>
    <s v="Credit Card"/>
    <s v="Mozzarella"/>
    <s v="Dairy Products"/>
    <n v="34.799999999999997"/>
    <n v="27"/>
    <n v="939.59999999999991"/>
    <n v="89.261999999999986"/>
  </r>
  <r>
    <x v="181"/>
    <x v="82"/>
    <n v="3"/>
    <s v="Company C"/>
    <s v="123 3rd Street"/>
    <s v="Los Angelas"/>
    <s v="CA"/>
    <n v="99999"/>
    <s v="USA"/>
    <x v="0"/>
    <x v="0"/>
    <d v="2014-07-05T00:00:00"/>
    <s v="Shipping Company B"/>
    <s v="Thomas Axerr"/>
    <s v="123 3rd Street"/>
    <s v="Los Angelas"/>
    <s v="CA"/>
    <n v="99999"/>
    <s v="USA"/>
    <s v="Cash"/>
    <s v="Syrup"/>
    <s v="Condiments"/>
    <n v="10"/>
    <n v="99"/>
    <n v="990"/>
    <n v="95.039999999999992"/>
  </r>
  <r>
    <x v="182"/>
    <x v="82"/>
    <n v="3"/>
    <s v="Company C"/>
    <s v="123 3rd Street"/>
    <s v="Los Angelas"/>
    <s v="CA"/>
    <n v="99999"/>
    <s v="USA"/>
    <x v="0"/>
    <x v="0"/>
    <d v="2014-07-05T00:00:00"/>
    <s v="Shipping Company B"/>
    <s v="Thomas Axerr"/>
    <s v="123 3rd Street"/>
    <s v="Los Angelas"/>
    <s v="CA"/>
    <n v="99999"/>
    <s v="USA"/>
    <s v="Cash"/>
    <s v="Curry Sauce"/>
    <s v="Sauces"/>
    <n v="40"/>
    <n v="10"/>
    <n v="400"/>
    <n v="40"/>
  </r>
  <r>
    <x v="183"/>
    <x v="83"/>
    <n v="10"/>
    <s v="Company J"/>
    <s v="123 10th Street"/>
    <s v="Chicago"/>
    <s v="IL"/>
    <n v="99999"/>
    <s v="USA"/>
    <x v="6"/>
    <x v="1"/>
    <d v="2014-07-12T00:00:00"/>
    <s v="Shipping Company B"/>
    <s v="Roland Wacker"/>
    <s v="123 10th Street"/>
    <s v="Chicago"/>
    <s v="IL"/>
    <n v="99999"/>
    <s v="USA"/>
    <s v="Credit Card"/>
    <s v="Almonds"/>
    <s v="Dried Fruit &amp; Nuts"/>
    <n v="10"/>
    <n v="80"/>
    <n v="800"/>
    <n v="77.599999999999994"/>
  </r>
  <r>
    <x v="184"/>
    <x v="83"/>
    <n v="10"/>
    <s v="Company J"/>
    <s v="123 10th Street"/>
    <s v="Chicago"/>
    <s v="IL"/>
    <n v="99999"/>
    <s v="USA"/>
    <x v="6"/>
    <x v="1"/>
    <m/>
    <s v="Shipping Company A"/>
    <s v="Roland Wacker"/>
    <s v="123 10th Street"/>
    <s v="Chicago"/>
    <s v="IL"/>
    <n v="99999"/>
    <s v="USA"/>
    <m/>
    <s v="Dried Plums"/>
    <s v="Dried Fruit &amp; Nuts"/>
    <n v="3.5"/>
    <n v="27"/>
    <n v="94.5"/>
    <n v="9.072000000000001"/>
  </r>
  <r>
    <x v="185"/>
    <x v="84"/>
    <n v="11"/>
    <s v="Company K"/>
    <s v="123 11th Street"/>
    <s v="Miami"/>
    <s v="FL"/>
    <n v="99999"/>
    <s v="USA"/>
    <x v="5"/>
    <x v="3"/>
    <m/>
    <s v="Shipping Company C"/>
    <s v="Peter Krschne"/>
    <s v="123 11th Street"/>
    <s v="Miami"/>
    <s v="FL"/>
    <n v="99999"/>
    <s v="USA"/>
    <m/>
    <s v="Curry Sauce"/>
    <s v="Sauces"/>
    <n v="40"/>
    <n v="97"/>
    <n v="3880"/>
    <n v="380.24"/>
  </r>
  <r>
    <x v="186"/>
    <x v="73"/>
    <n v="1"/>
    <s v="Company A"/>
    <s v="123 1st Street"/>
    <s v="Seattle"/>
    <s v="WA"/>
    <n v="99999"/>
    <s v="USA"/>
    <x v="2"/>
    <x v="2"/>
    <m/>
    <s v="Shipping Company C"/>
    <s v="Anna Bedecs"/>
    <s v="123 1st Street"/>
    <s v="Seattle"/>
    <s v="WA"/>
    <n v="99999"/>
    <s v="USA"/>
    <m/>
    <s v="Crab Meat"/>
    <s v="Canned Meat"/>
    <n v="18.399999999999999"/>
    <n v="42"/>
    <n v="772.8"/>
    <n v="80.371200000000002"/>
  </r>
  <r>
    <x v="187"/>
    <x v="74"/>
    <n v="28"/>
    <s v="Company BB"/>
    <s v="789 28th Street"/>
    <s v="Memphis"/>
    <s v="TN"/>
    <n v="99999"/>
    <s v="USA"/>
    <x v="5"/>
    <x v="3"/>
    <n v="41850"/>
    <s v="Shipping Company C"/>
    <s v="Amritansh Raghav"/>
    <s v="789 28th Street"/>
    <s v="Memphis"/>
    <s v="TN"/>
    <n v="99999"/>
    <s v="USA"/>
    <s v="Credit Card"/>
    <s v="Coffee"/>
    <s v="Beverages"/>
    <n v="46"/>
    <n v="24"/>
    <n v="1104"/>
    <n v="105.98399999999999"/>
  </r>
  <r>
    <x v="188"/>
    <x v="75"/>
    <n v="9"/>
    <s v="Company I"/>
    <s v="123 9th Street"/>
    <s v="Salt Lake City"/>
    <s v="UT"/>
    <n v="99999"/>
    <s v="USA"/>
    <x v="7"/>
    <x v="0"/>
    <d v="2014-07-11T00:00:00"/>
    <s v="Shipping Company A"/>
    <s v="Sven Mortensen"/>
    <s v="123 9th Street"/>
    <s v="Salt Lake City"/>
    <s v="UT"/>
    <n v="99999"/>
    <s v="USA"/>
    <s v="Check"/>
    <s v="Clam Chowder"/>
    <s v="Soups"/>
    <n v="9.65"/>
    <n v="90"/>
    <n v="868.5"/>
    <n v="83.376000000000005"/>
  </r>
  <r>
    <x v="189"/>
    <x v="76"/>
    <n v="6"/>
    <s v="Company F"/>
    <s v="123 6th Street"/>
    <s v="Milwaukee"/>
    <s v="WI"/>
    <n v="99999"/>
    <s v="USA"/>
    <x v="4"/>
    <x v="2"/>
    <d v="2014-07-08T00:00:00"/>
    <s v="Shipping Company B"/>
    <s v="Francisco Pérez-Olaeta"/>
    <s v="123 6th Street"/>
    <s v="Milwaukee"/>
    <s v="WI"/>
    <n v="99999"/>
    <s v="USA"/>
    <s v="Credit Card"/>
    <s v="Chocolate"/>
    <s v="Candy"/>
    <n v="12.75"/>
    <n v="28"/>
    <n v="357"/>
    <n v="35.700000000000003"/>
  </r>
  <r>
    <x v="190"/>
    <x v="85"/>
    <n v="28"/>
    <s v="Company BB"/>
    <s v="789 28th Street"/>
    <s v="Memphis"/>
    <s v="TN"/>
    <n v="99999"/>
    <s v="USA"/>
    <x v="5"/>
    <x v="3"/>
    <d v="2014-08-30T00:00:00"/>
    <s v="Shipping Company C"/>
    <s v="Amritansh Raghav"/>
    <s v="789 28th Street"/>
    <s v="Memphis"/>
    <s v="TN"/>
    <n v="99999"/>
    <s v="USA"/>
    <s v="Check"/>
    <s v="Coffee"/>
    <s v="Beverages"/>
    <n v="46"/>
    <n v="28"/>
    <n v="1288"/>
    <n v="133.95200000000003"/>
  </r>
  <r>
    <x v="191"/>
    <x v="86"/>
    <n v="8"/>
    <s v="Company H"/>
    <s v="123 8th Street"/>
    <s v="Portland"/>
    <s v="OR"/>
    <n v="99999"/>
    <s v="USA"/>
    <x v="2"/>
    <x v="2"/>
    <d v="2014-08-10T00:00:00"/>
    <s v="Shipping Company C"/>
    <s v="Elizabeth Andersen"/>
    <s v="123 8th Street"/>
    <s v="Portland"/>
    <s v="OR"/>
    <n v="99999"/>
    <s v="USA"/>
    <s v="Check"/>
    <s v="Chocolate"/>
    <s v="Candy"/>
    <n v="12.75"/>
    <n v="57"/>
    <n v="726.75"/>
    <n v="69.768000000000001"/>
  </r>
  <r>
    <x v="192"/>
    <x v="87"/>
    <n v="10"/>
    <s v="Company J"/>
    <s v="123 10th Street"/>
    <s v="Chicago"/>
    <s v="IL"/>
    <n v="99999"/>
    <s v="USA"/>
    <x v="6"/>
    <x v="1"/>
    <d v="2014-08-12T00:00:00"/>
    <s v="Shipping Company B"/>
    <s v="Roland Wacker"/>
    <s v="123 10th Street"/>
    <s v="Chicago"/>
    <s v="IL"/>
    <n v="99999"/>
    <s v="USA"/>
    <s v="Credit Card"/>
    <s v="Green Tea"/>
    <s v="Beverages"/>
    <n v="2.99"/>
    <n v="23"/>
    <n v="68.77000000000001"/>
    <n v="6.6706900000000013"/>
  </r>
  <r>
    <x v="193"/>
    <x v="88"/>
    <n v="7"/>
    <s v="Company G"/>
    <s v="123 7th Street"/>
    <s v="Boise"/>
    <s v="ID"/>
    <n v="99999"/>
    <s v="USA"/>
    <x v="2"/>
    <x v="2"/>
    <m/>
    <m/>
    <s v="Ming-Yang Xie"/>
    <s v="123 7th Street"/>
    <s v="Boise"/>
    <s v="ID"/>
    <n v="99999"/>
    <s v="USA"/>
    <m/>
    <s v="Coffee"/>
    <s v="Beverages"/>
    <n v="46"/>
    <n v="86"/>
    <n v="3956"/>
    <n v="399.55600000000004"/>
  </r>
  <r>
    <x v="194"/>
    <x v="87"/>
    <n v="10"/>
    <s v="Company J"/>
    <s v="123 10th Street"/>
    <s v="Chicago"/>
    <s v="IL"/>
    <n v="99999"/>
    <s v="USA"/>
    <x v="6"/>
    <x v="1"/>
    <d v="2014-08-12T00:00:00"/>
    <s v="Shipping Company A"/>
    <s v="Roland Wacker"/>
    <s v="123 10th Street"/>
    <s v="Chicago"/>
    <s v="IL"/>
    <n v="99999"/>
    <s v="USA"/>
    <m/>
    <s v="Boysenberry Spread"/>
    <s v="Jams, Preserves"/>
    <n v="25"/>
    <n v="47"/>
    <n v="1175"/>
    <n v="116.325"/>
  </r>
  <r>
    <x v="195"/>
    <x v="87"/>
    <n v="10"/>
    <s v="Company J"/>
    <s v="123 10th Street"/>
    <s v="Chicago"/>
    <s v="IL"/>
    <n v="99999"/>
    <s v="USA"/>
    <x v="6"/>
    <x v="1"/>
    <d v="2014-08-12T00:00:00"/>
    <s v="Shipping Company A"/>
    <s v="Roland Wacker"/>
    <s v="123 10th Street"/>
    <s v="Chicago"/>
    <s v="IL"/>
    <n v="99999"/>
    <s v="USA"/>
    <m/>
    <s v="Cajun Seasoning"/>
    <s v="Condiments"/>
    <n v="22"/>
    <n v="97"/>
    <n v="2134"/>
    <n v="221.93600000000001"/>
  </r>
  <r>
    <x v="196"/>
    <x v="87"/>
    <n v="10"/>
    <s v="Company J"/>
    <s v="123 10th Street"/>
    <s v="Chicago"/>
    <s v="IL"/>
    <n v="99999"/>
    <s v="USA"/>
    <x v="6"/>
    <x v="1"/>
    <d v="2014-08-12T00:00:00"/>
    <s v="Shipping Company A"/>
    <s v="Roland Wacker"/>
    <s v="123 10th Street"/>
    <s v="Chicago"/>
    <s v="IL"/>
    <n v="99999"/>
    <s v="USA"/>
    <m/>
    <s v="Chocolate Biscuits Mix"/>
    <s v="Baked Goods &amp; Mixes"/>
    <n v="9.1999999999999993"/>
    <n v="96"/>
    <n v="883.19999999999993"/>
    <n v="86.553599999999989"/>
  </r>
  <r>
    <x v="197"/>
    <x v="89"/>
    <n v="11"/>
    <s v="Company K"/>
    <s v="123 11th Street"/>
    <s v="Miami"/>
    <s v="FL"/>
    <n v="99999"/>
    <s v="USA"/>
    <x v="5"/>
    <x v="3"/>
    <m/>
    <s v="Shipping Company C"/>
    <s v="Peter Krschne"/>
    <s v="123 11th Street"/>
    <s v="Miami"/>
    <s v="FL"/>
    <n v="99999"/>
    <s v="USA"/>
    <m/>
    <s v="Dried Plums"/>
    <s v="Dried Fruit &amp; Nuts"/>
    <n v="3.5"/>
    <n v="31"/>
    <n v="108.5"/>
    <n v="10.850000000000001"/>
  </r>
  <r>
    <x v="198"/>
    <x v="89"/>
    <n v="11"/>
    <s v="Company K"/>
    <s v="123 11th Street"/>
    <s v="Miami"/>
    <s v="FL"/>
    <n v="99999"/>
    <s v="USA"/>
    <x v="5"/>
    <x v="3"/>
    <m/>
    <s v="Shipping Company C"/>
    <s v="Peter Krschne"/>
    <s v="123 11th Street"/>
    <s v="Miami"/>
    <s v="FL"/>
    <n v="99999"/>
    <s v="USA"/>
    <m/>
    <s v="Green Tea"/>
    <s v="Beverages"/>
    <n v="2.99"/>
    <n v="52"/>
    <n v="155.48000000000002"/>
    <n v="16.014440000000004"/>
  </r>
  <r>
    <x v="199"/>
    <x v="90"/>
    <n v="1"/>
    <s v="Company A"/>
    <s v="123 1st Street"/>
    <s v="Seattle"/>
    <s v="WA"/>
    <n v="99999"/>
    <s v="USA"/>
    <x v="2"/>
    <x v="2"/>
    <m/>
    <m/>
    <s v="Anna Bedecs"/>
    <s v="123 1st Street"/>
    <s v="Seattle"/>
    <s v="WA"/>
    <n v="99999"/>
    <s v="USA"/>
    <m/>
    <s v="Chai"/>
    <s v="Beverages"/>
    <n v="18"/>
    <n v="91"/>
    <n v="1638"/>
    <n v="158.886"/>
  </r>
  <r>
    <x v="200"/>
    <x v="90"/>
    <n v="1"/>
    <s v="Company A"/>
    <s v="123 1st Street"/>
    <s v="Seattle"/>
    <s v="WA"/>
    <n v="99999"/>
    <s v="USA"/>
    <x v="2"/>
    <x v="2"/>
    <m/>
    <m/>
    <s v="Anna Bedecs"/>
    <s v="123 1st Street"/>
    <s v="Seattle"/>
    <s v="WA"/>
    <n v="99999"/>
    <s v="USA"/>
    <m/>
    <s v="Coffee"/>
    <s v="Beverages"/>
    <n v="46"/>
    <n v="14"/>
    <n v="644"/>
    <n v="63.756000000000007"/>
  </r>
  <r>
    <x v="201"/>
    <x v="90"/>
    <n v="1"/>
    <s v="Company A"/>
    <s v="123 1st Street"/>
    <s v="Seattle"/>
    <s v="WA"/>
    <n v="99999"/>
    <s v="USA"/>
    <x v="2"/>
    <x v="2"/>
    <m/>
    <m/>
    <s v="Anna Bedecs"/>
    <s v="123 1st Street"/>
    <s v="Seattle"/>
    <s v="WA"/>
    <n v="99999"/>
    <s v="USA"/>
    <m/>
    <s v="Green Tea"/>
    <s v="Beverages"/>
    <n v="2.99"/>
    <n v="44"/>
    <n v="131.56"/>
    <n v="13.287560000000001"/>
  </r>
  <r>
    <x v="202"/>
    <x v="85"/>
    <n v="28"/>
    <s v="Company BB"/>
    <s v="789 28th Street"/>
    <s v="Memphis"/>
    <s v="TN"/>
    <n v="99999"/>
    <s v="USA"/>
    <x v="5"/>
    <x v="3"/>
    <d v="2014-08-30T00:00:00"/>
    <s v="Shipping Company C"/>
    <s v="Amritansh Raghav"/>
    <s v="789 28th Street"/>
    <s v="Memphis"/>
    <s v="TN"/>
    <n v="99999"/>
    <s v="USA"/>
    <s v="Credit Card"/>
    <s v="Clam Chowder"/>
    <s v="Soups"/>
    <n v="9.65"/>
    <n v="97"/>
    <n v="936.05000000000007"/>
    <n v="95.477100000000021"/>
  </r>
  <r>
    <x v="203"/>
    <x v="85"/>
    <n v="28"/>
    <s v="Company BB"/>
    <s v="789 28th Street"/>
    <s v="Memphis"/>
    <s v="TN"/>
    <n v="99999"/>
    <s v="USA"/>
    <x v="5"/>
    <x v="3"/>
    <d v="2014-08-30T00:00:00"/>
    <s v="Shipping Company C"/>
    <s v="Amritansh Raghav"/>
    <s v="789 28th Street"/>
    <s v="Memphis"/>
    <s v="TN"/>
    <n v="99999"/>
    <s v="USA"/>
    <s v="Credit Card"/>
    <s v="Crab Meat"/>
    <s v="Canned Meat"/>
    <n v="18.399999999999999"/>
    <n v="80"/>
    <n v="1472"/>
    <n v="150.14400000000003"/>
  </r>
  <r>
    <x v="204"/>
    <x v="91"/>
    <n v="9"/>
    <s v="Company I"/>
    <s v="123 9th Street"/>
    <s v="Salt Lake City"/>
    <s v="UT"/>
    <n v="99999"/>
    <s v="USA"/>
    <x v="7"/>
    <x v="0"/>
    <d v="2014-08-11T00:00:00"/>
    <s v="Shipping Company A"/>
    <s v="Sven Mortensen"/>
    <s v="123 9th Street"/>
    <s v="Salt Lake City"/>
    <s v="UT"/>
    <n v="99999"/>
    <s v="USA"/>
    <s v="Check"/>
    <s v="Ravioli"/>
    <s v="Pasta"/>
    <n v="19.5"/>
    <n v="66"/>
    <n v="1287"/>
    <n v="132.56100000000001"/>
  </r>
  <r>
    <x v="205"/>
    <x v="91"/>
    <n v="9"/>
    <s v="Company I"/>
    <s v="123 9th Street"/>
    <s v="Salt Lake City"/>
    <s v="UT"/>
    <n v="99999"/>
    <s v="USA"/>
    <x v="7"/>
    <x v="0"/>
    <d v="2014-08-11T00:00:00"/>
    <s v="Shipping Company A"/>
    <s v="Sven Mortensen"/>
    <s v="123 9th Street"/>
    <s v="Salt Lake City"/>
    <s v="UT"/>
    <n v="99999"/>
    <s v="USA"/>
    <s v="Check"/>
    <s v="Mozzarella"/>
    <s v="Dairy Products"/>
    <n v="34.799999999999997"/>
    <n v="32"/>
    <n v="1113.5999999999999"/>
    <n v="111.36"/>
  </r>
  <r>
    <x v="206"/>
    <x v="92"/>
    <n v="6"/>
    <s v="Company F"/>
    <s v="123 6th Street"/>
    <s v="Milwaukee"/>
    <s v="WI"/>
    <n v="99999"/>
    <s v="USA"/>
    <x v="4"/>
    <x v="2"/>
    <d v="2014-08-08T00:00:00"/>
    <s v="Shipping Company B"/>
    <s v="Francisco Pérez-Olaeta"/>
    <s v="123 6th Street"/>
    <s v="Milwaukee"/>
    <s v="WI"/>
    <n v="99999"/>
    <s v="USA"/>
    <s v="Credit Card"/>
    <s v="Beer"/>
    <s v="Beverages"/>
    <n v="14"/>
    <n v="52"/>
    <n v="728"/>
    <n v="72.8"/>
  </r>
  <r>
    <x v="207"/>
    <x v="86"/>
    <n v="8"/>
    <s v="Company H"/>
    <s v="123 8th Street"/>
    <s v="Portland"/>
    <s v="OR"/>
    <n v="99999"/>
    <s v="USA"/>
    <x v="2"/>
    <x v="2"/>
    <d v="2014-08-10T00:00:00"/>
    <s v="Shipping Company B"/>
    <s v="Elizabeth Andersen"/>
    <s v="123 8th Street"/>
    <s v="Portland"/>
    <s v="OR"/>
    <n v="99999"/>
    <s v="USA"/>
    <s v="Check"/>
    <s v="Curry Sauce"/>
    <s v="Sauces"/>
    <n v="40"/>
    <n v="78"/>
    <n v="3120"/>
    <n v="318.24"/>
  </r>
  <r>
    <x v="208"/>
    <x v="86"/>
    <n v="8"/>
    <s v="Company H"/>
    <s v="123 8th Street"/>
    <s v="Portland"/>
    <s v="OR"/>
    <n v="99999"/>
    <s v="USA"/>
    <x v="2"/>
    <x v="2"/>
    <d v="2014-08-10T00:00:00"/>
    <s v="Shipping Company B"/>
    <s v="Elizabeth Andersen"/>
    <s v="123 8th Street"/>
    <s v="Portland"/>
    <s v="OR"/>
    <n v="99999"/>
    <s v="USA"/>
    <s v="Check"/>
    <s v="Chocolate Biscuits Mix"/>
    <s v="Baked Goods &amp; Mixes"/>
    <n v="9.1999999999999993"/>
    <n v="54"/>
    <n v="496.79999999999995"/>
    <n v="49.183199999999999"/>
  </r>
  <r>
    <x v="209"/>
    <x v="93"/>
    <n v="25"/>
    <s v="Company Y"/>
    <s v="789 25th Street"/>
    <s v="Chicago"/>
    <s v="IL"/>
    <n v="99999"/>
    <s v="USA"/>
    <x v="6"/>
    <x v="1"/>
    <d v="2014-08-27T00:00:00"/>
    <s v="Shipping Company A"/>
    <s v="John Rodman"/>
    <s v="789 25th Street"/>
    <s v="Chicago"/>
    <s v="IL"/>
    <n v="99999"/>
    <s v="USA"/>
    <s v="Cash"/>
    <s v="Scones"/>
    <s v="Baked Goods &amp; Mixes"/>
    <n v="10"/>
    <n v="55"/>
    <n v="550"/>
    <n v="52.25"/>
  </r>
  <r>
    <x v="210"/>
    <x v="94"/>
    <n v="26"/>
    <s v="Company Z"/>
    <s v="789 26th Street"/>
    <s v="Miami"/>
    <s v="FL"/>
    <n v="99999"/>
    <s v="USA"/>
    <x v="5"/>
    <x v="3"/>
    <d v="2014-08-28T00:00:00"/>
    <s v="Shipping Company C"/>
    <s v="Run Liu"/>
    <s v="789 26th Street"/>
    <s v="Miami"/>
    <s v="FL"/>
    <n v="99999"/>
    <s v="USA"/>
    <s v="Credit Card"/>
    <s v="Olive Oil"/>
    <s v="Oil"/>
    <n v="21.35"/>
    <n v="60"/>
    <n v="1281"/>
    <n v="129.381"/>
  </r>
  <r>
    <x v="211"/>
    <x v="94"/>
    <n v="26"/>
    <s v="Company Z"/>
    <s v="789 26th Street"/>
    <s v="Miami"/>
    <s v="FL"/>
    <n v="99999"/>
    <s v="USA"/>
    <x v="5"/>
    <x v="3"/>
    <d v="2014-08-28T00:00:00"/>
    <s v="Shipping Company C"/>
    <s v="Run Liu"/>
    <s v="789 26th Street"/>
    <s v="Miami"/>
    <s v="FL"/>
    <n v="99999"/>
    <s v="USA"/>
    <s v="Credit Card"/>
    <s v="Clam Chowder"/>
    <s v="Soups"/>
    <n v="9.65"/>
    <n v="19"/>
    <n v="183.35"/>
    <n v="17.41825"/>
  </r>
  <r>
    <x v="212"/>
    <x v="94"/>
    <n v="26"/>
    <s v="Company Z"/>
    <s v="789 26th Street"/>
    <s v="Miami"/>
    <s v="FL"/>
    <n v="99999"/>
    <s v="USA"/>
    <x v="5"/>
    <x v="3"/>
    <d v="2014-08-28T00:00:00"/>
    <s v="Shipping Company C"/>
    <s v="Run Liu"/>
    <s v="789 26th Street"/>
    <s v="Miami"/>
    <s v="FL"/>
    <n v="99999"/>
    <s v="USA"/>
    <s v="Credit Card"/>
    <s v="Crab Meat"/>
    <s v="Canned Meat"/>
    <n v="18.399999999999999"/>
    <n v="66"/>
    <n v="1214.3999999999999"/>
    <n v="125.08320000000001"/>
  </r>
  <r>
    <x v="213"/>
    <x v="95"/>
    <n v="29"/>
    <s v="Company CC"/>
    <s v="789 29th Street"/>
    <s v="Denver"/>
    <s v="CO"/>
    <n v="99999"/>
    <s v="USA"/>
    <x v="3"/>
    <x v="0"/>
    <d v="2014-08-31T00:00:00"/>
    <s v="Shipping Company B"/>
    <s v="Soo Jung Lee"/>
    <s v="789 29th Street"/>
    <s v="Denver"/>
    <s v="CO"/>
    <n v="99999"/>
    <s v="USA"/>
    <s v="Check"/>
    <s v="Beer"/>
    <s v="Beverages"/>
    <n v="14"/>
    <n v="42"/>
    <n v="588"/>
    <n v="59.388000000000005"/>
  </r>
  <r>
    <x v="214"/>
    <x v="92"/>
    <n v="6"/>
    <s v="Company F"/>
    <s v="123 6th Street"/>
    <s v="Milwaukee"/>
    <s v="WI"/>
    <n v="99999"/>
    <s v="USA"/>
    <x v="4"/>
    <x v="2"/>
    <n v="41859"/>
    <s v="Shipping Company C"/>
    <s v="Francisco Pérez-Olaeta"/>
    <s v="123 6th Street"/>
    <s v="Milwaukee"/>
    <s v="WI"/>
    <n v="99999"/>
    <s v="USA"/>
    <s v="Check"/>
    <s v="Chocolate"/>
    <s v="Candy"/>
    <n v="12.75"/>
    <n v="72"/>
    <n v="918"/>
    <n v="89.046000000000006"/>
  </r>
  <r>
    <x v="215"/>
    <x v="96"/>
    <n v="4"/>
    <s v="Company D"/>
    <s v="123 4th Street"/>
    <s v="New York"/>
    <s v="NY"/>
    <n v="99999"/>
    <s v="USA"/>
    <x v="1"/>
    <x v="1"/>
    <n v="41857"/>
    <s v="Shipping Company A"/>
    <s v="Christina Lee"/>
    <s v="123 4th Street"/>
    <s v="New York"/>
    <s v="NY"/>
    <n v="99999"/>
    <s v="USA"/>
    <s v="Credit Card"/>
    <s v="Marmalade"/>
    <s v="Jams, Preserves"/>
    <n v="81"/>
    <n v="32"/>
    <n v="2592"/>
    <n v="251.42399999999998"/>
  </r>
  <r>
    <x v="216"/>
    <x v="96"/>
    <n v="4"/>
    <s v="Company D"/>
    <s v="123 4th Street"/>
    <s v="New York"/>
    <s v="NY"/>
    <n v="99999"/>
    <s v="USA"/>
    <x v="1"/>
    <x v="1"/>
    <n v="41857"/>
    <s v="Shipping Company A"/>
    <s v="Christina Lee"/>
    <s v="123 4th Street"/>
    <s v="New York"/>
    <s v="NY"/>
    <n v="99999"/>
    <s v="USA"/>
    <s v="Credit Card"/>
    <s v="Long Grain Rice"/>
    <s v="Grains"/>
    <n v="7"/>
    <n v="76"/>
    <n v="532"/>
    <n v="53.732000000000006"/>
  </r>
  <r>
    <x v="217"/>
    <x v="97"/>
    <n v="10"/>
    <s v="Company J"/>
    <s v="123 10th Street"/>
    <s v="Chicago"/>
    <s v="IL"/>
    <n v="99999"/>
    <s v="USA"/>
    <x v="6"/>
    <x v="1"/>
    <n v="41894"/>
    <s v="Shipping Company A"/>
    <s v="Roland Wacker"/>
    <s v="123 10th Street"/>
    <s v="Chicago"/>
    <s v="IL"/>
    <n v="99999"/>
    <s v="USA"/>
    <m/>
    <s v="Chocolate Biscuits Mix"/>
    <s v="Baked Goods &amp; Mixes"/>
    <n v="9.1999999999999993"/>
    <n v="83"/>
    <n v="763.59999999999991"/>
    <n v="74.832799999999992"/>
  </r>
  <r>
    <x v="218"/>
    <x v="98"/>
    <n v="11"/>
    <s v="Company K"/>
    <s v="123 11th Street"/>
    <s v="Miami"/>
    <s v="FL"/>
    <n v="99999"/>
    <s v="USA"/>
    <x v="5"/>
    <x v="3"/>
    <m/>
    <s v="Shipping Company C"/>
    <s v="Peter Krschne"/>
    <s v="123 11th Street"/>
    <s v="Miami"/>
    <s v="FL"/>
    <n v="99999"/>
    <s v="USA"/>
    <m/>
    <s v="Dried Plums"/>
    <s v="Dried Fruit &amp; Nuts"/>
    <n v="3.5"/>
    <n v="91"/>
    <n v="318.5"/>
    <n v="31.213000000000001"/>
  </r>
  <r>
    <x v="219"/>
    <x v="98"/>
    <n v="11"/>
    <s v="Company K"/>
    <s v="123 11th Street"/>
    <s v="Miami"/>
    <s v="FL"/>
    <n v="99999"/>
    <s v="USA"/>
    <x v="5"/>
    <x v="3"/>
    <m/>
    <s v="Shipping Company C"/>
    <s v="Peter Krschne"/>
    <s v="123 11th Street"/>
    <s v="Miami"/>
    <s v="FL"/>
    <n v="99999"/>
    <s v="USA"/>
    <m/>
    <s v="Green Tea"/>
    <s v="Beverages"/>
    <n v="2.99"/>
    <n v="64"/>
    <n v="191.36"/>
    <n v="19.518720000000002"/>
  </r>
  <r>
    <x v="220"/>
    <x v="99"/>
    <n v="1"/>
    <s v="Company A"/>
    <s v="123 1st Street"/>
    <s v="Seattle"/>
    <s v="WA"/>
    <n v="99999"/>
    <s v="USA"/>
    <x v="2"/>
    <x v="2"/>
    <m/>
    <m/>
    <s v="Anna Bedecs"/>
    <s v="123 1st Street"/>
    <s v="Seattle"/>
    <s v="WA"/>
    <n v="99999"/>
    <s v="USA"/>
    <m/>
    <s v="Chai"/>
    <s v="Beverages"/>
    <n v="18"/>
    <n v="58"/>
    <n v="1044"/>
    <n v="103.35600000000001"/>
  </r>
  <r>
    <x v="221"/>
    <x v="99"/>
    <n v="1"/>
    <s v="Company A"/>
    <s v="123 1st Street"/>
    <s v="Seattle"/>
    <s v="WA"/>
    <n v="99999"/>
    <s v="USA"/>
    <x v="2"/>
    <x v="2"/>
    <m/>
    <m/>
    <s v="Anna Bedecs"/>
    <s v="123 1st Street"/>
    <s v="Seattle"/>
    <s v="WA"/>
    <n v="99999"/>
    <s v="USA"/>
    <m/>
    <s v="Coffee"/>
    <s v="Beverages"/>
    <n v="46"/>
    <n v="97"/>
    <n v="4462"/>
    <n v="464.04800000000006"/>
  </r>
  <r>
    <x v="222"/>
    <x v="99"/>
    <n v="1"/>
    <s v="Company A"/>
    <s v="123 1st Street"/>
    <s v="Seattle"/>
    <s v="WA"/>
    <n v="99999"/>
    <s v="USA"/>
    <x v="2"/>
    <x v="2"/>
    <m/>
    <m/>
    <s v="Anna Bedecs"/>
    <s v="123 1st Street"/>
    <s v="Seattle"/>
    <s v="WA"/>
    <n v="99999"/>
    <s v="USA"/>
    <m/>
    <s v="Green Tea"/>
    <s v="Beverages"/>
    <n v="2.99"/>
    <n v="14"/>
    <n v="41.86"/>
    <n v="4.35344"/>
  </r>
  <r>
    <x v="223"/>
    <x v="100"/>
    <n v="28"/>
    <s v="Company BB"/>
    <s v="789 28th Street"/>
    <s v="Memphis"/>
    <s v="TN"/>
    <n v="99999"/>
    <s v="USA"/>
    <x v="5"/>
    <x v="3"/>
    <d v="2014-09-30T00:00:00"/>
    <s v="Shipping Company C"/>
    <s v="Amritansh Raghav"/>
    <s v="789 28th Street"/>
    <s v="Memphis"/>
    <s v="TN"/>
    <n v="99999"/>
    <s v="USA"/>
    <s v="Credit Card"/>
    <s v="Clam Chowder"/>
    <s v="Soups"/>
    <n v="9.65"/>
    <n v="68"/>
    <n v="656.2"/>
    <n v="64.307600000000008"/>
  </r>
  <r>
    <x v="224"/>
    <x v="100"/>
    <n v="28"/>
    <s v="Company BB"/>
    <s v="789 28th Street"/>
    <s v="Memphis"/>
    <s v="TN"/>
    <n v="99999"/>
    <s v="USA"/>
    <x v="5"/>
    <x v="3"/>
    <n v="41912"/>
    <s v="Shipping Company C"/>
    <s v="Amritansh Raghav"/>
    <s v="789 28th Street"/>
    <s v="Memphis"/>
    <s v="TN"/>
    <n v="99999"/>
    <s v="USA"/>
    <s v="Credit Card"/>
    <s v="Crab Meat"/>
    <s v="Canned Meat"/>
    <n v="18.399999999999999"/>
    <n v="32"/>
    <n v="588.79999999999995"/>
    <n v="58.879999999999995"/>
  </r>
  <r>
    <x v="225"/>
    <x v="101"/>
    <n v="9"/>
    <s v="Company I"/>
    <s v="123 9th Street"/>
    <s v="Salt Lake City"/>
    <s v="UT"/>
    <n v="99999"/>
    <s v="USA"/>
    <x v="7"/>
    <x v="0"/>
    <d v="2014-09-11T00:00:00"/>
    <s v="Shipping Company A"/>
    <s v="Sven Mortensen"/>
    <s v="123 9th Street"/>
    <s v="Salt Lake City"/>
    <s v="UT"/>
    <n v="99999"/>
    <s v="USA"/>
    <s v="Check"/>
    <s v="Ravioli"/>
    <s v="Pasta"/>
    <n v="19.5"/>
    <n v="48"/>
    <n v="936"/>
    <n v="94.536000000000016"/>
  </r>
  <r>
    <x v="226"/>
    <x v="101"/>
    <n v="9"/>
    <s v="Company I"/>
    <s v="123 9th Street"/>
    <s v="Salt Lake City"/>
    <s v="UT"/>
    <n v="99999"/>
    <s v="USA"/>
    <x v="7"/>
    <x v="0"/>
    <d v="2014-09-11T00:00:00"/>
    <s v="Shipping Company A"/>
    <s v="Sven Mortensen"/>
    <s v="123 9th Street"/>
    <s v="Salt Lake City"/>
    <s v="UT"/>
    <n v="99999"/>
    <s v="USA"/>
    <s v="Check"/>
    <s v="Mozzarella"/>
    <s v="Dairy Products"/>
    <n v="34.799999999999997"/>
    <n v="57"/>
    <n v="1983.6"/>
    <n v="194.39280000000002"/>
  </r>
  <r>
    <x v="227"/>
    <x v="102"/>
    <n v="6"/>
    <s v="Company F"/>
    <s v="123 6th Street"/>
    <s v="Milwaukee"/>
    <s v="WI"/>
    <n v="99999"/>
    <s v="USA"/>
    <x v="4"/>
    <x v="2"/>
    <d v="2014-09-08T00:00:00"/>
    <s v="Shipping Company B"/>
    <s v="Francisco Pérez-Olaeta"/>
    <s v="123 6th Street"/>
    <s v="Milwaukee"/>
    <s v="WI"/>
    <n v="99999"/>
    <s v="USA"/>
    <s v="Credit Card"/>
    <s v="Beer"/>
    <s v="Beverages"/>
    <n v="14"/>
    <n v="67"/>
    <n v="938"/>
    <n v="98.490000000000009"/>
  </r>
  <r>
    <x v="228"/>
    <x v="103"/>
    <n v="8"/>
    <s v="Company H"/>
    <s v="123 8th Street"/>
    <s v="Portland"/>
    <s v="OR"/>
    <n v="99999"/>
    <s v="USA"/>
    <x v="2"/>
    <x v="2"/>
    <n v="41892"/>
    <s v="Shipping Company B"/>
    <s v="Elizabeth Andersen"/>
    <s v="123 8th Street"/>
    <s v="Portland"/>
    <s v="OR"/>
    <n v="99999"/>
    <s v="USA"/>
    <s v="Check"/>
    <s v="Curry Sauce"/>
    <s v="Sauces"/>
    <n v="40"/>
    <n v="48"/>
    <n v="1920"/>
    <n v="188.16"/>
  </r>
  <r>
    <x v="229"/>
    <x v="103"/>
    <n v="8"/>
    <s v="Company H"/>
    <s v="123 8th Street"/>
    <s v="Portland"/>
    <s v="OR"/>
    <n v="99999"/>
    <s v="USA"/>
    <x v="2"/>
    <x v="2"/>
    <n v="41892"/>
    <s v="Shipping Company B"/>
    <s v="Elizabeth Andersen"/>
    <s v="123 8th Street"/>
    <s v="Portland"/>
    <s v="OR"/>
    <n v="99999"/>
    <s v="USA"/>
    <s v="Check"/>
    <s v="Chocolate Biscuits Mix"/>
    <s v="Baked Goods &amp; Mixes"/>
    <n v="9.1999999999999993"/>
    <n v="77"/>
    <n v="708.4"/>
    <n v="72.256799999999998"/>
  </r>
  <r>
    <x v="230"/>
    <x v="104"/>
    <n v="25"/>
    <s v="Company Y"/>
    <s v="789 25th Street"/>
    <s v="Chicago"/>
    <s v="IL"/>
    <n v="99999"/>
    <s v="USA"/>
    <x v="6"/>
    <x v="1"/>
    <n v="41909"/>
    <s v="Shipping Company A"/>
    <s v="John Rodman"/>
    <s v="789 25th Street"/>
    <s v="Chicago"/>
    <s v="IL"/>
    <n v="99999"/>
    <s v="USA"/>
    <s v="Cash"/>
    <s v="Scones"/>
    <s v="Baked Goods &amp; Mixes"/>
    <n v="10"/>
    <n v="94"/>
    <n v="940"/>
    <n v="97.76"/>
  </r>
  <r>
    <x v="231"/>
    <x v="105"/>
    <n v="26"/>
    <s v="Company Z"/>
    <s v="789 26th Street"/>
    <s v="Miami"/>
    <s v="FL"/>
    <n v="99999"/>
    <s v="USA"/>
    <x v="5"/>
    <x v="3"/>
    <n v="41910"/>
    <s v="Shipping Company C"/>
    <s v="Run Liu"/>
    <s v="789 26th Street"/>
    <s v="Miami"/>
    <s v="FL"/>
    <n v="99999"/>
    <s v="USA"/>
    <s v="Credit Card"/>
    <s v="Olive Oil"/>
    <s v="Oil"/>
    <n v="21.35"/>
    <n v="54"/>
    <n v="1152.9000000000001"/>
    <n v="121.05450000000003"/>
  </r>
  <r>
    <x v="232"/>
    <x v="105"/>
    <n v="26"/>
    <s v="Company Z"/>
    <s v="789 26th Street"/>
    <s v="Miami"/>
    <s v="FL"/>
    <n v="99999"/>
    <s v="USA"/>
    <x v="5"/>
    <x v="3"/>
    <n v="41910"/>
    <s v="Shipping Company C"/>
    <s v="Run Liu"/>
    <s v="789 26th Street"/>
    <s v="Miami"/>
    <s v="FL"/>
    <n v="99999"/>
    <s v="USA"/>
    <s v="Credit Card"/>
    <s v="Clam Chowder"/>
    <s v="Soups"/>
    <n v="9.65"/>
    <n v="43"/>
    <n v="414.95"/>
    <n v="40.250150000000005"/>
  </r>
  <r>
    <x v="233"/>
    <x v="105"/>
    <n v="26"/>
    <s v="Company Z"/>
    <s v="789 26th Street"/>
    <s v="Miami"/>
    <s v="FL"/>
    <n v="99999"/>
    <s v="USA"/>
    <x v="5"/>
    <x v="3"/>
    <d v="2014-09-28T00:00:00"/>
    <s v="Shipping Company C"/>
    <s v="Run Liu"/>
    <s v="789 26th Street"/>
    <s v="Miami"/>
    <s v="FL"/>
    <n v="99999"/>
    <s v="USA"/>
    <s v="Credit Card"/>
    <s v="Crab Meat"/>
    <s v="Canned Meat"/>
    <n v="18.399999999999999"/>
    <n v="71"/>
    <n v="1306.3999999999999"/>
    <n v="134.55919999999998"/>
  </r>
  <r>
    <x v="234"/>
    <x v="106"/>
    <n v="29"/>
    <s v="Company CC"/>
    <s v="789 29th Street"/>
    <s v="Denver"/>
    <s v="CO"/>
    <n v="99999"/>
    <s v="USA"/>
    <x v="3"/>
    <x v="0"/>
    <d v="2014-10-01T00:00:00"/>
    <s v="Shipping Company B"/>
    <s v="Soo Jung Lee"/>
    <s v="789 29th Street"/>
    <s v="Denver"/>
    <s v="CO"/>
    <n v="99999"/>
    <s v="USA"/>
    <s v="Check"/>
    <s v="Beer"/>
    <s v="Beverages"/>
    <n v="14"/>
    <n v="50"/>
    <n v="700"/>
    <n v="67.2"/>
  </r>
  <r>
    <x v="235"/>
    <x v="102"/>
    <n v="6"/>
    <s v="Company F"/>
    <s v="123 6th Street"/>
    <s v="Milwaukee"/>
    <s v="WI"/>
    <n v="99999"/>
    <s v="USA"/>
    <x v="4"/>
    <x v="2"/>
    <d v="2014-09-08T00:00:00"/>
    <s v="Shipping Company C"/>
    <s v="Francisco Pérez-Olaeta"/>
    <s v="123 6th Street"/>
    <s v="Milwaukee"/>
    <s v="WI"/>
    <n v="99999"/>
    <s v="USA"/>
    <s v="Check"/>
    <s v="Chocolate"/>
    <s v="Candy"/>
    <n v="12.75"/>
    <n v="96"/>
    <n v="1224"/>
    <n v="119.952"/>
  </r>
  <r>
    <x v="236"/>
    <x v="107"/>
    <n v="4"/>
    <s v="Company D"/>
    <s v="123 4th Street"/>
    <s v="New York"/>
    <s v="NY"/>
    <n v="99999"/>
    <s v="USA"/>
    <x v="1"/>
    <x v="1"/>
    <d v="2014-09-06T00:00:00"/>
    <s v="Shipping Company A"/>
    <s v="Christina Lee"/>
    <s v="123 4th Street"/>
    <s v="New York"/>
    <s v="NY"/>
    <n v="99999"/>
    <s v="USA"/>
    <s v="Credit Card"/>
    <s v="Marmalade"/>
    <s v="Jams, Preserves"/>
    <n v="81"/>
    <n v="54"/>
    <n v="4374"/>
    <n v="437.40000000000003"/>
  </r>
  <r>
    <x v="237"/>
    <x v="107"/>
    <n v="4"/>
    <s v="Company D"/>
    <s v="123 4th Street"/>
    <s v="New York"/>
    <s v="NY"/>
    <n v="99999"/>
    <s v="USA"/>
    <x v="1"/>
    <x v="1"/>
    <d v="2014-09-06T00:00:00"/>
    <s v="Shipping Company A"/>
    <s v="Christina Lee"/>
    <s v="123 4th Street"/>
    <s v="New York"/>
    <s v="NY"/>
    <n v="99999"/>
    <s v="USA"/>
    <s v="Credit Card"/>
    <s v="Long Grain Rice"/>
    <s v="Grains"/>
    <n v="7"/>
    <n v="39"/>
    <n v="273"/>
    <n v="27.3"/>
  </r>
  <r>
    <x v="238"/>
    <x v="103"/>
    <n v="8"/>
    <s v="Company H"/>
    <s v="123 8th Street"/>
    <s v="Portland"/>
    <s v="OR"/>
    <n v="99999"/>
    <s v="USA"/>
    <x v="2"/>
    <x v="2"/>
    <d v="2014-09-10T00:00:00"/>
    <s v="Shipping Company C"/>
    <s v="Elizabeth Andersen"/>
    <s v="123 8th Street"/>
    <s v="Portland"/>
    <s v="OR"/>
    <n v="99999"/>
    <s v="USA"/>
    <s v="Credit Card"/>
    <s v="Mozzarella"/>
    <s v="Dairy Products"/>
    <n v="34.799999999999997"/>
    <n v="63"/>
    <n v="2192.3999999999996"/>
    <n v="230.202"/>
  </r>
  <r>
    <x v="239"/>
    <x v="108"/>
    <n v="3"/>
    <s v="Company C"/>
    <s v="123 3rd Street"/>
    <s v="Los Angelas"/>
    <s v="CA"/>
    <n v="99999"/>
    <s v="USA"/>
    <x v="0"/>
    <x v="0"/>
    <d v="2014-09-05T00:00:00"/>
    <s v="Shipping Company B"/>
    <s v="Thomas Axerr"/>
    <s v="123 3rd Street"/>
    <s v="Los Angelas"/>
    <s v="CA"/>
    <n v="99999"/>
    <s v="USA"/>
    <s v="Cash"/>
    <s v="Syrup"/>
    <s v="Condiments"/>
    <n v="10"/>
    <n v="71"/>
    <n v="710"/>
    <n v="73.13"/>
  </r>
  <r>
    <x v="240"/>
    <x v="108"/>
    <n v="3"/>
    <s v="Company C"/>
    <s v="123 3rd Street"/>
    <s v="Los Angelas"/>
    <s v="CA"/>
    <n v="99999"/>
    <s v="USA"/>
    <x v="0"/>
    <x v="0"/>
    <d v="2014-09-05T00:00:00"/>
    <s v="Shipping Company B"/>
    <s v="Thomas Axerr"/>
    <s v="123 3rd Street"/>
    <s v="Los Angelas"/>
    <s v="CA"/>
    <n v="99999"/>
    <s v="USA"/>
    <s v="Cash"/>
    <s v="Curry Sauce"/>
    <s v="Sauces"/>
    <n v="40"/>
    <n v="88"/>
    <n v="3520"/>
    <n v="366.08000000000004"/>
  </r>
  <r>
    <x v="241"/>
    <x v="97"/>
    <n v="10"/>
    <s v="Company J"/>
    <s v="123 10th Street"/>
    <s v="Chicago"/>
    <s v="IL"/>
    <n v="99999"/>
    <s v="USA"/>
    <x v="6"/>
    <x v="1"/>
    <d v="2014-09-12T00:00:00"/>
    <s v="Shipping Company B"/>
    <s v="Roland Wacker"/>
    <s v="123 10th Street"/>
    <s v="Chicago"/>
    <s v="IL"/>
    <n v="99999"/>
    <s v="USA"/>
    <s v="Credit Card"/>
    <s v="Almonds"/>
    <s v="Dried Fruit &amp; Nuts"/>
    <n v="10"/>
    <n v="59"/>
    <n v="590"/>
    <n v="59.59"/>
  </r>
  <r>
    <x v="242"/>
    <x v="109"/>
    <n v="6"/>
    <s v="Company F"/>
    <s v="123 6th Street"/>
    <s v="Milwaukee"/>
    <s v="WI"/>
    <n v="99999"/>
    <s v="USA"/>
    <x v="4"/>
    <x v="2"/>
    <d v="2014-10-08T00:00:00"/>
    <s v="Shipping Company B"/>
    <s v="Francisco Pérez-Olaeta"/>
    <s v="123 6th Street"/>
    <s v="Milwaukee"/>
    <s v="WI"/>
    <n v="99999"/>
    <s v="USA"/>
    <s v="Credit Card"/>
    <s v="Curry Sauce"/>
    <s v="Sauces"/>
    <n v="40"/>
    <n v="94"/>
    <n v="3760"/>
    <n v="376"/>
  </r>
  <r>
    <x v="243"/>
    <x v="110"/>
    <n v="28"/>
    <s v="Company BB"/>
    <s v="789 28th Street"/>
    <s v="Memphis"/>
    <s v="TN"/>
    <n v="99999"/>
    <s v="USA"/>
    <x v="5"/>
    <x v="3"/>
    <d v="2014-10-30T00:00:00"/>
    <s v="Shipping Company C"/>
    <s v="Amritansh Raghav"/>
    <s v="789 28th Street"/>
    <s v="Memphis"/>
    <s v="TN"/>
    <n v="99999"/>
    <s v="USA"/>
    <s v="Check"/>
    <s v="Coffee"/>
    <s v="Beverages"/>
    <n v="46"/>
    <n v="86"/>
    <n v="3956"/>
    <n v="379.77600000000001"/>
  </r>
  <r>
    <x v="244"/>
    <x v="111"/>
    <n v="8"/>
    <s v="Company H"/>
    <s v="123 8th Street"/>
    <s v="Portland"/>
    <s v="OR"/>
    <n v="99999"/>
    <s v="USA"/>
    <x v="2"/>
    <x v="2"/>
    <d v="2014-10-10T00:00:00"/>
    <s v="Shipping Company C"/>
    <s v="Elizabeth Andersen"/>
    <s v="123 8th Street"/>
    <s v="Portland"/>
    <s v="OR"/>
    <n v="99999"/>
    <s v="USA"/>
    <s v="Check"/>
    <s v="Chocolate"/>
    <s v="Candy"/>
    <n v="12.75"/>
    <n v="61"/>
    <n v="777.75"/>
    <n v="78.552750000000003"/>
  </r>
  <r>
    <x v="245"/>
    <x v="112"/>
    <n v="10"/>
    <s v="Company J"/>
    <s v="123 10th Street"/>
    <s v="Chicago"/>
    <s v="IL"/>
    <n v="99999"/>
    <s v="USA"/>
    <x v="6"/>
    <x v="1"/>
    <d v="2014-10-12T00:00:00"/>
    <s v="Shipping Company B"/>
    <s v="Roland Wacker"/>
    <s v="123 10th Street"/>
    <s v="Chicago"/>
    <s v="IL"/>
    <n v="99999"/>
    <s v="USA"/>
    <s v="Credit Card"/>
    <s v="Green Tea"/>
    <s v="Beverages"/>
    <n v="2.99"/>
    <n v="32"/>
    <n v="95.68"/>
    <n v="9.7593600000000009"/>
  </r>
  <r>
    <x v="246"/>
    <x v="113"/>
    <n v="7"/>
    <s v="Company G"/>
    <s v="123 7th Street"/>
    <s v="Boise"/>
    <s v="ID"/>
    <n v="99999"/>
    <s v="USA"/>
    <x v="2"/>
    <x v="2"/>
    <m/>
    <m/>
    <s v="Ming-Yang Xie"/>
    <s v="123 7th Street"/>
    <s v="Boise"/>
    <s v="ID"/>
    <n v="99999"/>
    <s v="USA"/>
    <m/>
    <s v="Coffee"/>
    <s v="Beverages"/>
    <n v="46"/>
    <n v="62"/>
    <n v="2852"/>
    <n v="290.904"/>
  </r>
  <r>
    <x v="247"/>
    <x v="112"/>
    <n v="10"/>
    <s v="Company J"/>
    <s v="123 10th Street"/>
    <s v="Chicago"/>
    <s v="IL"/>
    <n v="99999"/>
    <s v="USA"/>
    <x v="6"/>
    <x v="1"/>
    <d v="2014-10-12T00:00:00"/>
    <s v="Shipping Company A"/>
    <s v="Roland Wacker"/>
    <s v="123 10th Street"/>
    <s v="Chicago"/>
    <s v="IL"/>
    <n v="99999"/>
    <s v="USA"/>
    <m/>
    <s v="Boysenberry Spread"/>
    <s v="Jams, Preserves"/>
    <n v="25"/>
    <n v="60"/>
    <n v="1500"/>
    <n v="154.5"/>
  </r>
  <r>
    <x v="248"/>
    <x v="112"/>
    <n v="10"/>
    <s v="Company J"/>
    <s v="123 10th Street"/>
    <s v="Chicago"/>
    <s v="IL"/>
    <n v="99999"/>
    <s v="USA"/>
    <x v="6"/>
    <x v="1"/>
    <d v="2014-10-12T00:00:00"/>
    <s v="Shipping Company A"/>
    <s v="Roland Wacker"/>
    <s v="123 10th Street"/>
    <s v="Chicago"/>
    <s v="IL"/>
    <n v="99999"/>
    <s v="USA"/>
    <m/>
    <s v="Cajun Seasoning"/>
    <s v="Condiments"/>
    <n v="22"/>
    <n v="51"/>
    <n v="1122"/>
    <n v="109.956"/>
  </r>
  <r>
    <x v="249"/>
    <x v="112"/>
    <n v="10"/>
    <s v="Company J"/>
    <s v="123 10th Street"/>
    <s v="Chicago"/>
    <s v="IL"/>
    <n v="99999"/>
    <s v="USA"/>
    <x v="6"/>
    <x v="1"/>
    <d v="2014-10-12T00:00:00"/>
    <s v="Shipping Company A"/>
    <s v="Roland Wacker"/>
    <s v="123 10th Street"/>
    <s v="Chicago"/>
    <s v="IL"/>
    <n v="99999"/>
    <s v="USA"/>
    <m/>
    <s v="Chocolate Biscuits Mix"/>
    <s v="Baked Goods &amp; Mixes"/>
    <n v="9.1999999999999993"/>
    <n v="49"/>
    <n v="450.79999999999995"/>
    <n v="44.629199999999997"/>
  </r>
  <r>
    <x v="250"/>
    <x v="114"/>
    <n v="11"/>
    <s v="Company K"/>
    <s v="123 11th Street"/>
    <s v="Miami"/>
    <s v="FL"/>
    <n v="99999"/>
    <s v="USA"/>
    <x v="5"/>
    <x v="3"/>
    <m/>
    <s v="Shipping Company C"/>
    <s v="Peter Krschne"/>
    <s v="123 11th Street"/>
    <s v="Miami"/>
    <s v="FL"/>
    <n v="99999"/>
    <s v="USA"/>
    <m/>
    <s v="Dried Plums"/>
    <s v="Dried Fruit &amp; Nuts"/>
    <n v="3.5"/>
    <n v="20"/>
    <n v="70"/>
    <n v="6.93"/>
  </r>
  <r>
    <x v="251"/>
    <x v="114"/>
    <n v="11"/>
    <s v="Company K"/>
    <s v="123 11th Street"/>
    <s v="Miami"/>
    <s v="FL"/>
    <n v="99999"/>
    <s v="USA"/>
    <x v="5"/>
    <x v="3"/>
    <m/>
    <s v="Shipping Company C"/>
    <s v="Peter Krschne"/>
    <s v="123 11th Street"/>
    <s v="Miami"/>
    <s v="FL"/>
    <n v="99999"/>
    <s v="USA"/>
    <m/>
    <s v="Green Tea"/>
    <s v="Beverages"/>
    <n v="2.99"/>
    <n v="49"/>
    <n v="146.51000000000002"/>
    <n v="14.651000000000003"/>
  </r>
  <r>
    <x v="252"/>
    <x v="115"/>
    <n v="1"/>
    <s v="Company A"/>
    <s v="123 1st Street"/>
    <s v="Seattle"/>
    <s v="WA"/>
    <n v="99999"/>
    <s v="USA"/>
    <x v="2"/>
    <x v="2"/>
    <m/>
    <m/>
    <s v="Anna Bedecs"/>
    <s v="123 1st Street"/>
    <s v="Seattle"/>
    <s v="WA"/>
    <n v="99999"/>
    <s v="USA"/>
    <m/>
    <s v="Chai"/>
    <s v="Beverages"/>
    <n v="18"/>
    <n v="22"/>
    <n v="396"/>
    <n v="38.015999999999998"/>
  </r>
  <r>
    <x v="253"/>
    <x v="115"/>
    <n v="1"/>
    <s v="Company A"/>
    <s v="123 1st Street"/>
    <s v="Seattle"/>
    <s v="WA"/>
    <n v="99999"/>
    <s v="USA"/>
    <x v="2"/>
    <x v="2"/>
    <m/>
    <m/>
    <s v="Anna Bedecs"/>
    <s v="123 1st Street"/>
    <s v="Seattle"/>
    <s v="WA"/>
    <n v="99999"/>
    <s v="USA"/>
    <m/>
    <s v="Coffee"/>
    <s v="Beverages"/>
    <n v="46"/>
    <n v="73"/>
    <n v="3358"/>
    <n v="339.15800000000002"/>
  </r>
  <r>
    <x v="254"/>
    <x v="115"/>
    <n v="1"/>
    <s v="Company A"/>
    <s v="123 1st Street"/>
    <s v="Seattle"/>
    <s v="WA"/>
    <n v="99999"/>
    <s v="USA"/>
    <x v="2"/>
    <x v="2"/>
    <m/>
    <m/>
    <s v="Anna Bedecs"/>
    <s v="123 1st Street"/>
    <s v="Seattle"/>
    <s v="WA"/>
    <n v="99999"/>
    <s v="USA"/>
    <m/>
    <s v="Green Tea"/>
    <s v="Beverages"/>
    <n v="2.99"/>
    <n v="85"/>
    <n v="254.15"/>
    <n v="24.652550000000002"/>
  </r>
  <r>
    <x v="255"/>
    <x v="110"/>
    <n v="28"/>
    <s v="Company BB"/>
    <s v="789 28th Street"/>
    <s v="Memphis"/>
    <s v="TN"/>
    <n v="99999"/>
    <s v="USA"/>
    <x v="5"/>
    <x v="3"/>
    <d v="2014-10-30T00:00:00"/>
    <s v="Shipping Company C"/>
    <s v="Amritansh Raghav"/>
    <s v="789 28th Street"/>
    <s v="Memphis"/>
    <s v="TN"/>
    <n v="99999"/>
    <s v="USA"/>
    <s v="Credit Card"/>
    <s v="Clam Chowder"/>
    <s v="Soups"/>
    <n v="9.65"/>
    <n v="44"/>
    <n v="424.6"/>
    <n v="44.158400000000007"/>
  </r>
  <r>
    <x v="256"/>
    <x v="110"/>
    <n v="28"/>
    <s v="Company BB"/>
    <s v="789 28th Street"/>
    <s v="Memphis"/>
    <s v="TN"/>
    <n v="99999"/>
    <s v="USA"/>
    <x v="5"/>
    <x v="3"/>
    <d v="2014-10-30T00:00:00"/>
    <s v="Shipping Company C"/>
    <s v="Amritansh Raghav"/>
    <s v="789 28th Street"/>
    <s v="Memphis"/>
    <s v="TN"/>
    <n v="99999"/>
    <s v="USA"/>
    <s v="Credit Card"/>
    <s v="Crab Meat"/>
    <s v="Canned Meat"/>
    <n v="18.399999999999999"/>
    <n v="24"/>
    <n v="441.59999999999997"/>
    <n v="42.835199999999993"/>
  </r>
  <r>
    <x v="257"/>
    <x v="116"/>
    <n v="9"/>
    <s v="Company I"/>
    <s v="123 9th Street"/>
    <s v="Salt Lake City"/>
    <s v="UT"/>
    <n v="99999"/>
    <s v="USA"/>
    <x v="7"/>
    <x v="0"/>
    <d v="2014-10-11T00:00:00"/>
    <s v="Shipping Company A"/>
    <s v="Sven Mortensen"/>
    <s v="123 9th Street"/>
    <s v="Salt Lake City"/>
    <s v="UT"/>
    <n v="99999"/>
    <s v="USA"/>
    <s v="Check"/>
    <s v="Ravioli"/>
    <s v="Pasta"/>
    <n v="19.5"/>
    <n v="64"/>
    <n v="1248"/>
    <n v="119.80800000000001"/>
  </r>
  <r>
    <x v="258"/>
    <x v="116"/>
    <n v="9"/>
    <s v="Company I"/>
    <s v="123 9th Street"/>
    <s v="Salt Lake City"/>
    <s v="UT"/>
    <n v="99999"/>
    <s v="USA"/>
    <x v="7"/>
    <x v="0"/>
    <d v="2014-10-11T00:00:00"/>
    <s v="Shipping Company A"/>
    <s v="Sven Mortensen"/>
    <s v="123 9th Street"/>
    <s v="Salt Lake City"/>
    <s v="UT"/>
    <n v="99999"/>
    <s v="USA"/>
    <s v="Check"/>
    <s v="Mozzarella"/>
    <s v="Dairy Products"/>
    <n v="34.799999999999997"/>
    <n v="70"/>
    <n v="2436"/>
    <n v="246.03600000000003"/>
  </r>
  <r>
    <x v="259"/>
    <x v="109"/>
    <n v="6"/>
    <s v="Company F"/>
    <s v="123 6th Street"/>
    <s v="Milwaukee"/>
    <s v="WI"/>
    <n v="99999"/>
    <s v="USA"/>
    <x v="4"/>
    <x v="2"/>
    <d v="2014-10-08T00:00:00"/>
    <s v="Shipping Company B"/>
    <s v="Francisco Pérez-Olaeta"/>
    <s v="123 6th Street"/>
    <s v="Milwaukee"/>
    <s v="WI"/>
    <n v="99999"/>
    <s v="USA"/>
    <s v="Credit Card"/>
    <s v="Beer"/>
    <s v="Beverages"/>
    <n v="14"/>
    <n v="98"/>
    <n v="1372"/>
    <n v="138.57200000000003"/>
  </r>
  <r>
    <x v="260"/>
    <x v="111"/>
    <n v="8"/>
    <s v="Company H"/>
    <s v="123 8th Street"/>
    <s v="Portland"/>
    <s v="OR"/>
    <n v="99999"/>
    <s v="USA"/>
    <x v="2"/>
    <x v="2"/>
    <d v="2014-10-10T00:00:00"/>
    <s v="Shipping Company B"/>
    <s v="Elizabeth Andersen"/>
    <s v="123 8th Street"/>
    <s v="Portland"/>
    <s v="OR"/>
    <n v="99999"/>
    <s v="USA"/>
    <s v="Check"/>
    <s v="Curry Sauce"/>
    <s v="Sauces"/>
    <n v="40"/>
    <n v="48"/>
    <n v="1920"/>
    <n v="188.16"/>
  </r>
  <r>
    <x v="261"/>
    <x v="111"/>
    <n v="8"/>
    <s v="Company H"/>
    <s v="123 8th Street"/>
    <s v="Portland"/>
    <s v="OR"/>
    <n v="99999"/>
    <s v="USA"/>
    <x v="2"/>
    <x v="2"/>
    <d v="2014-10-10T00:00:00"/>
    <s v="Shipping Company B"/>
    <s v="Elizabeth Andersen"/>
    <s v="123 8th Street"/>
    <s v="Portland"/>
    <s v="OR"/>
    <n v="99999"/>
    <s v="USA"/>
    <s v="Check"/>
    <s v="Chocolate Biscuits Mix"/>
    <s v="Baked Goods &amp; Mixes"/>
    <n v="9.1999999999999993"/>
    <n v="100"/>
    <n v="919.99999999999989"/>
    <n v="91.08"/>
  </r>
  <r>
    <x v="262"/>
    <x v="117"/>
    <n v="25"/>
    <s v="Company Y"/>
    <s v="789 25th Street"/>
    <s v="Chicago"/>
    <s v="IL"/>
    <n v="99999"/>
    <s v="USA"/>
    <x v="6"/>
    <x v="1"/>
    <d v="2014-10-27T00:00:00"/>
    <s v="Shipping Company A"/>
    <s v="John Rodman"/>
    <s v="789 25th Street"/>
    <s v="Chicago"/>
    <s v="IL"/>
    <n v="99999"/>
    <s v="USA"/>
    <s v="Cash"/>
    <s v="Scones"/>
    <s v="Baked Goods &amp; Mixes"/>
    <n v="10"/>
    <n v="90"/>
    <n v="900"/>
    <n v="87.3"/>
  </r>
  <r>
    <x v="263"/>
    <x v="118"/>
    <n v="26"/>
    <s v="Company Z"/>
    <s v="789 26th Street"/>
    <s v="Miami"/>
    <s v="FL"/>
    <n v="99999"/>
    <s v="USA"/>
    <x v="5"/>
    <x v="3"/>
    <d v="2014-10-28T00:00:00"/>
    <s v="Shipping Company C"/>
    <s v="Run Liu"/>
    <s v="789 26th Street"/>
    <s v="Miami"/>
    <s v="FL"/>
    <n v="99999"/>
    <s v="USA"/>
    <s v="Credit Card"/>
    <s v="Olive Oil"/>
    <s v="Oil"/>
    <n v="21.35"/>
    <n v="49"/>
    <n v="1046.1500000000001"/>
    <n v="102.5227"/>
  </r>
  <r>
    <x v="264"/>
    <x v="118"/>
    <n v="26"/>
    <s v="Company Z"/>
    <s v="789 26th Street"/>
    <s v="Miami"/>
    <s v="FL"/>
    <n v="99999"/>
    <s v="USA"/>
    <x v="5"/>
    <x v="3"/>
    <d v="2014-10-28T00:00:00"/>
    <s v="Shipping Company C"/>
    <s v="Run Liu"/>
    <s v="789 26th Street"/>
    <s v="Miami"/>
    <s v="FL"/>
    <n v="99999"/>
    <s v="USA"/>
    <s v="Credit Card"/>
    <s v="Clam Chowder"/>
    <s v="Soups"/>
    <n v="9.65"/>
    <n v="71"/>
    <n v="685.15"/>
    <n v="65.7744"/>
  </r>
  <r>
    <x v="265"/>
    <x v="118"/>
    <n v="26"/>
    <s v="Company Z"/>
    <s v="789 26th Street"/>
    <s v="Miami"/>
    <s v="FL"/>
    <n v="99999"/>
    <s v="USA"/>
    <x v="5"/>
    <x v="3"/>
    <d v="2014-10-28T00:00:00"/>
    <s v="Shipping Company C"/>
    <s v="Run Liu"/>
    <s v="789 26th Street"/>
    <s v="Miami"/>
    <s v="FL"/>
    <n v="99999"/>
    <s v="USA"/>
    <s v="Credit Card"/>
    <s v="Crab Meat"/>
    <s v="Canned Meat"/>
    <n v="18.399999999999999"/>
    <n v="10"/>
    <n v="184"/>
    <n v="19.136000000000003"/>
  </r>
  <r>
    <x v="266"/>
    <x v="119"/>
    <n v="29"/>
    <s v="Company CC"/>
    <s v="789 29th Street"/>
    <s v="Denver"/>
    <s v="CO"/>
    <n v="99999"/>
    <s v="USA"/>
    <x v="3"/>
    <x v="0"/>
    <d v="2014-10-31T00:00:00"/>
    <s v="Shipping Company B"/>
    <s v="Soo Jung Lee"/>
    <s v="789 29th Street"/>
    <s v="Denver"/>
    <s v="CO"/>
    <n v="99999"/>
    <s v="USA"/>
    <s v="Check"/>
    <s v="Beer"/>
    <s v="Beverages"/>
    <n v="14"/>
    <n v="78"/>
    <n v="1092"/>
    <n v="112.476"/>
  </r>
  <r>
    <x v="267"/>
    <x v="109"/>
    <n v="6"/>
    <s v="Company F"/>
    <s v="123 6th Street"/>
    <s v="Milwaukee"/>
    <s v="WI"/>
    <n v="99999"/>
    <s v="USA"/>
    <x v="4"/>
    <x v="2"/>
    <d v="2014-10-08T00:00:00"/>
    <s v="Shipping Company C"/>
    <s v="Francisco Pérez-Olaeta"/>
    <s v="123 6th Street"/>
    <s v="Milwaukee"/>
    <s v="WI"/>
    <n v="99999"/>
    <s v="USA"/>
    <s v="Check"/>
    <s v="Chocolate"/>
    <s v="Candy"/>
    <n v="12.75"/>
    <n v="44"/>
    <n v="561"/>
    <n v="53.856000000000002"/>
  </r>
  <r>
    <x v="268"/>
    <x v="120"/>
    <n v="4"/>
    <s v="Company D"/>
    <s v="123 4th Street"/>
    <s v="New York"/>
    <s v="NY"/>
    <n v="99999"/>
    <s v="USA"/>
    <x v="1"/>
    <x v="1"/>
    <d v="2014-10-06T00:00:00"/>
    <s v="Shipping Company A"/>
    <s v="Christina Lee"/>
    <s v="123 4th Street"/>
    <s v="New York"/>
    <s v="NY"/>
    <n v="99999"/>
    <s v="USA"/>
    <s v="Credit Card"/>
    <s v="Marmalade"/>
    <s v="Jams, Preserves"/>
    <n v="81"/>
    <n v="82"/>
    <n v="6642"/>
    <n v="697.41000000000008"/>
  </r>
  <r>
    <x v="269"/>
    <x v="120"/>
    <n v="4"/>
    <s v="Company D"/>
    <s v="123 4th Street"/>
    <s v="New York"/>
    <s v="NY"/>
    <n v="99999"/>
    <s v="USA"/>
    <x v="1"/>
    <x v="1"/>
    <d v="2014-10-06T00:00:00"/>
    <s v="Shipping Company A"/>
    <s v="Christina Lee"/>
    <s v="123 4th Street"/>
    <s v="New York"/>
    <s v="NY"/>
    <n v="99999"/>
    <s v="USA"/>
    <s v="Credit Card"/>
    <s v="Long Grain Rice"/>
    <s v="Grains"/>
    <n v="7"/>
    <n v="29"/>
    <n v="203"/>
    <n v="20.3"/>
  </r>
  <r>
    <x v="270"/>
    <x v="111"/>
    <n v="8"/>
    <s v="Company H"/>
    <s v="123 8th Street"/>
    <s v="Portland"/>
    <s v="OR"/>
    <n v="99999"/>
    <s v="USA"/>
    <x v="2"/>
    <x v="2"/>
    <d v="2014-10-10T00:00:00"/>
    <s v="Shipping Company C"/>
    <s v="Elizabeth Andersen"/>
    <s v="123 8th Street"/>
    <s v="Portland"/>
    <s v="OR"/>
    <n v="99999"/>
    <s v="USA"/>
    <s v="Credit Card"/>
    <s v="Mozzarella"/>
    <s v="Dairy Products"/>
    <n v="34.799999999999997"/>
    <n v="93"/>
    <n v="3236.3999999999996"/>
    <n v="313.93079999999998"/>
  </r>
  <r>
    <x v="271"/>
    <x v="121"/>
    <n v="3"/>
    <s v="Company C"/>
    <s v="123 3rd Street"/>
    <s v="Los Angelas"/>
    <s v="CA"/>
    <n v="99999"/>
    <s v="USA"/>
    <x v="0"/>
    <x v="0"/>
    <d v="2014-10-05T00:00:00"/>
    <s v="Shipping Company B"/>
    <s v="Thomas Axerr"/>
    <s v="123 3rd Street"/>
    <s v="Los Angelas"/>
    <s v="CA"/>
    <n v="99999"/>
    <s v="USA"/>
    <s v="Cash"/>
    <s v="Syrup"/>
    <s v="Condiments"/>
    <n v="10"/>
    <n v="11"/>
    <n v="110"/>
    <n v="11.440000000000001"/>
  </r>
  <r>
    <x v="272"/>
    <x v="121"/>
    <n v="3"/>
    <s v="Company C"/>
    <s v="123 3rd Street"/>
    <s v="Los Angelas"/>
    <s v="CA"/>
    <n v="99999"/>
    <s v="USA"/>
    <x v="0"/>
    <x v="0"/>
    <d v="2014-10-05T00:00:00"/>
    <s v="Shipping Company B"/>
    <s v="Thomas Axerr"/>
    <s v="123 3rd Street"/>
    <s v="Los Angelas"/>
    <s v="CA"/>
    <n v="99999"/>
    <s v="USA"/>
    <s v="Cash"/>
    <s v="Curry Sauce"/>
    <s v="Sauces"/>
    <n v="40"/>
    <n v="91"/>
    <n v="3640"/>
    <n v="364"/>
  </r>
  <r>
    <x v="273"/>
    <x v="112"/>
    <n v="10"/>
    <s v="Company J"/>
    <s v="123 10th Street"/>
    <s v="Chicago"/>
    <s v="IL"/>
    <n v="99999"/>
    <s v="USA"/>
    <x v="6"/>
    <x v="1"/>
    <d v="2014-10-12T00:00:00"/>
    <s v="Shipping Company B"/>
    <s v="Roland Wacker"/>
    <s v="123 10th Street"/>
    <s v="Chicago"/>
    <s v="IL"/>
    <n v="99999"/>
    <s v="USA"/>
    <s v="Credit Card"/>
    <s v="Almonds"/>
    <s v="Dried Fruit &amp; Nuts"/>
    <n v="10"/>
    <n v="12"/>
    <n v="120"/>
    <n v="12.36"/>
  </r>
  <r>
    <x v="274"/>
    <x v="112"/>
    <n v="10"/>
    <s v="Company J"/>
    <s v="123 10th Street"/>
    <s v="Chicago"/>
    <s v="IL"/>
    <n v="99999"/>
    <s v="USA"/>
    <x v="6"/>
    <x v="1"/>
    <m/>
    <s v="Shipping Company A"/>
    <s v="Roland Wacker"/>
    <s v="123 10th Street"/>
    <s v="Chicago"/>
    <s v="IL"/>
    <n v="99999"/>
    <s v="USA"/>
    <m/>
    <s v="Dried Plums"/>
    <s v="Dried Fruit &amp; Nuts"/>
    <n v="3.5"/>
    <n v="78"/>
    <n v="273"/>
    <n v="27.3"/>
  </r>
  <r>
    <x v="275"/>
    <x v="114"/>
    <n v="11"/>
    <s v="Company K"/>
    <s v="123 11th Street"/>
    <s v="Miami"/>
    <s v="FL"/>
    <n v="99999"/>
    <s v="USA"/>
    <x v="5"/>
    <x v="3"/>
    <m/>
    <s v="Shipping Company C"/>
    <s v="Peter Krschne"/>
    <s v="123 11th Street"/>
    <s v="Miami"/>
    <s v="FL"/>
    <n v="99999"/>
    <s v="USA"/>
    <m/>
    <s v="Curry Sauce"/>
    <s v="Sauces"/>
    <n v="40"/>
    <n v="60"/>
    <n v="2400"/>
    <n v="228"/>
  </r>
  <r>
    <x v="276"/>
    <x v="115"/>
    <n v="1"/>
    <s v="Company A"/>
    <s v="123 1st Street"/>
    <s v="Seattle"/>
    <s v="WA"/>
    <n v="99999"/>
    <s v="USA"/>
    <x v="2"/>
    <x v="2"/>
    <m/>
    <s v="Shipping Company C"/>
    <s v="Anna Bedecs"/>
    <s v="123 1st Street"/>
    <s v="Seattle"/>
    <s v="WA"/>
    <n v="99999"/>
    <s v="USA"/>
    <m/>
    <s v="Crab Meat"/>
    <s v="Canned Meat"/>
    <n v="18.399999999999999"/>
    <n v="23"/>
    <n v="423.2"/>
    <n v="43.589600000000004"/>
  </r>
  <r>
    <x v="277"/>
    <x v="110"/>
    <n v="28"/>
    <s v="Company BB"/>
    <s v="789 28th Street"/>
    <s v="Memphis"/>
    <s v="TN"/>
    <n v="99999"/>
    <s v="USA"/>
    <x v="5"/>
    <x v="3"/>
    <d v="2014-10-30T00:00:00"/>
    <s v="Shipping Company C"/>
    <s v="Amritansh Raghav"/>
    <s v="789 28th Street"/>
    <s v="Memphis"/>
    <s v="TN"/>
    <n v="99999"/>
    <s v="USA"/>
    <s v="Credit Card"/>
    <s v="Coffee"/>
    <s v="Beverages"/>
    <n v="46"/>
    <n v="34"/>
    <n v="1564"/>
    <n v="157.964"/>
  </r>
  <r>
    <x v="278"/>
    <x v="116"/>
    <n v="9"/>
    <s v="Company I"/>
    <s v="123 9th Street"/>
    <s v="Salt Lake City"/>
    <s v="UT"/>
    <n v="99999"/>
    <s v="USA"/>
    <x v="7"/>
    <x v="0"/>
    <d v="2014-10-11T00:00:00"/>
    <s v="Shipping Company A"/>
    <s v="Sven Mortensen"/>
    <s v="123 9th Street"/>
    <s v="Salt Lake City"/>
    <s v="UT"/>
    <n v="99999"/>
    <s v="USA"/>
    <s v="Check"/>
    <s v="Clam Chowder"/>
    <s v="Soups"/>
    <n v="9.65"/>
    <n v="89"/>
    <n v="858.85"/>
    <n v="86.743850000000009"/>
  </r>
  <r>
    <x v="279"/>
    <x v="109"/>
    <n v="6"/>
    <s v="Company F"/>
    <s v="123 6th Street"/>
    <s v="Milwaukee"/>
    <s v="WI"/>
    <n v="99999"/>
    <s v="USA"/>
    <x v="4"/>
    <x v="2"/>
    <d v="2014-10-08T00:00:00"/>
    <s v="Shipping Company B"/>
    <s v="Francisco Pérez-Olaeta"/>
    <s v="123 6th Street"/>
    <s v="Milwaukee"/>
    <s v="WI"/>
    <n v="99999"/>
    <s v="USA"/>
    <s v="Credit Card"/>
    <s v="Chocolate"/>
    <s v="Candy"/>
    <n v="12.75"/>
    <n v="82"/>
    <n v="1045.5"/>
    <n v="103.50450000000001"/>
  </r>
  <r>
    <x v="280"/>
    <x v="111"/>
    <n v="8"/>
    <s v="Company H"/>
    <s v="123 8th Street"/>
    <s v="Portland"/>
    <s v="OR"/>
    <n v="99999"/>
    <s v="USA"/>
    <x v="2"/>
    <x v="2"/>
    <d v="2014-10-10T00:00:00"/>
    <s v="Shipping Company B"/>
    <s v="Elizabeth Andersen"/>
    <s v="123 8th Street"/>
    <s v="Portland"/>
    <s v="OR"/>
    <n v="99999"/>
    <s v="USA"/>
    <s v="Check"/>
    <s v="Chocolate"/>
    <s v="Candy"/>
    <n v="12.75"/>
    <n v="43"/>
    <n v="548.25"/>
    <n v="52.631999999999998"/>
  </r>
  <r>
    <x v="281"/>
    <x v="122"/>
    <n v="10"/>
    <s v="Company J"/>
    <s v="123 10th Street"/>
    <s v="Chicago"/>
    <s v="IL"/>
    <n v="99999"/>
    <s v="USA"/>
    <x v="6"/>
    <x v="1"/>
    <d v="2014-11-12T00:00:00"/>
    <s v="Shipping Company A"/>
    <s v="Roland Wacker"/>
    <s v="123 10th Street"/>
    <s v="Chicago"/>
    <s v="IL"/>
    <n v="99999"/>
    <s v="USA"/>
    <m/>
    <s v="Cajun Seasoning"/>
    <s v="Condiments"/>
    <n v="22"/>
    <n v="96"/>
    <n v="2112"/>
    <n v="221.76000000000002"/>
  </r>
  <r>
    <x v="282"/>
    <x v="122"/>
    <n v="10"/>
    <s v="Company J"/>
    <s v="123 10th Street"/>
    <s v="Chicago"/>
    <s v="IL"/>
    <n v="99999"/>
    <s v="USA"/>
    <x v="6"/>
    <x v="1"/>
    <d v="2014-11-12T00:00:00"/>
    <s v="Shipping Company A"/>
    <s v="Roland Wacker"/>
    <s v="123 10th Street"/>
    <s v="Chicago"/>
    <s v="IL"/>
    <n v="99999"/>
    <s v="USA"/>
    <m/>
    <s v="Chocolate Biscuits Mix"/>
    <s v="Baked Goods &amp; Mixes"/>
    <n v="9.1999999999999993"/>
    <n v="34"/>
    <n v="312.79999999999995"/>
    <n v="31.279999999999998"/>
  </r>
  <r>
    <x v="283"/>
    <x v="123"/>
    <n v="11"/>
    <s v="Company K"/>
    <s v="123 11th Street"/>
    <s v="Miami"/>
    <s v="FL"/>
    <n v="99999"/>
    <s v="USA"/>
    <x v="5"/>
    <x v="3"/>
    <m/>
    <s v="Shipping Company C"/>
    <s v="Peter Krschne"/>
    <s v="123 11th Street"/>
    <s v="Miami"/>
    <s v="FL"/>
    <n v="99999"/>
    <s v="USA"/>
    <m/>
    <s v="Dried Plums"/>
    <s v="Dried Fruit &amp; Nuts"/>
    <n v="3.5"/>
    <n v="42"/>
    <n v="147"/>
    <n v="15.141000000000002"/>
  </r>
  <r>
    <x v="284"/>
    <x v="123"/>
    <n v="11"/>
    <s v="Company K"/>
    <s v="123 11th Street"/>
    <s v="Miami"/>
    <s v="FL"/>
    <n v="99999"/>
    <s v="USA"/>
    <x v="5"/>
    <x v="3"/>
    <m/>
    <s v="Shipping Company C"/>
    <s v="Peter Krschne"/>
    <s v="123 11th Street"/>
    <s v="Miami"/>
    <s v="FL"/>
    <n v="99999"/>
    <s v="USA"/>
    <m/>
    <s v="Green Tea"/>
    <s v="Beverages"/>
    <n v="2.99"/>
    <n v="100"/>
    <n v="299"/>
    <n v="30.498000000000001"/>
  </r>
  <r>
    <x v="285"/>
    <x v="124"/>
    <n v="1"/>
    <s v="Company A"/>
    <s v="123 1st Street"/>
    <s v="Seattle"/>
    <s v="WA"/>
    <n v="99999"/>
    <s v="USA"/>
    <x v="2"/>
    <x v="2"/>
    <m/>
    <m/>
    <s v="Anna Bedecs"/>
    <s v="123 1st Street"/>
    <s v="Seattle"/>
    <s v="WA"/>
    <n v="99999"/>
    <s v="USA"/>
    <m/>
    <s v="Chai"/>
    <s v="Beverages"/>
    <n v="18"/>
    <n v="42"/>
    <n v="756"/>
    <n v="76.356000000000009"/>
  </r>
  <r>
    <x v="286"/>
    <x v="124"/>
    <n v="1"/>
    <s v="Company A"/>
    <s v="123 1st Street"/>
    <s v="Seattle"/>
    <s v="WA"/>
    <n v="99999"/>
    <s v="USA"/>
    <x v="2"/>
    <x v="2"/>
    <m/>
    <m/>
    <s v="Anna Bedecs"/>
    <s v="123 1st Street"/>
    <s v="Seattle"/>
    <s v="WA"/>
    <n v="99999"/>
    <s v="USA"/>
    <m/>
    <s v="Coffee"/>
    <s v="Beverages"/>
    <n v="46"/>
    <n v="16"/>
    <n v="736"/>
    <n v="70.656000000000006"/>
  </r>
  <r>
    <x v="287"/>
    <x v="124"/>
    <n v="1"/>
    <s v="Company A"/>
    <s v="123 1st Street"/>
    <s v="Seattle"/>
    <s v="WA"/>
    <n v="99999"/>
    <s v="USA"/>
    <x v="2"/>
    <x v="2"/>
    <m/>
    <m/>
    <s v="Anna Bedecs"/>
    <s v="123 1st Street"/>
    <s v="Seattle"/>
    <s v="WA"/>
    <n v="99999"/>
    <s v="USA"/>
    <m/>
    <s v="Green Tea"/>
    <s v="Beverages"/>
    <n v="2.99"/>
    <n v="22"/>
    <n v="65.78"/>
    <n v="6.3806599999999998"/>
  </r>
  <r>
    <x v="288"/>
    <x v="125"/>
    <n v="28"/>
    <s v="Company BB"/>
    <s v="789 28th Street"/>
    <s v="Memphis"/>
    <s v="TN"/>
    <n v="99999"/>
    <s v="USA"/>
    <x v="5"/>
    <x v="3"/>
    <d v="2014-11-30T00:00:00"/>
    <s v="Shipping Company C"/>
    <s v="Amritansh Raghav"/>
    <s v="789 28th Street"/>
    <s v="Memphis"/>
    <s v="TN"/>
    <n v="99999"/>
    <s v="USA"/>
    <s v="Credit Card"/>
    <s v="Clam Chowder"/>
    <s v="Soups"/>
    <n v="9.65"/>
    <n v="46"/>
    <n v="443.90000000000003"/>
    <n v="45.721700000000006"/>
  </r>
  <r>
    <x v="289"/>
    <x v="125"/>
    <n v="28"/>
    <s v="Company BB"/>
    <s v="789 28th Street"/>
    <s v="Memphis"/>
    <s v="TN"/>
    <n v="99999"/>
    <s v="USA"/>
    <x v="5"/>
    <x v="3"/>
    <n v="41973"/>
    <s v="Shipping Company C"/>
    <s v="Amritansh Raghav"/>
    <s v="789 28th Street"/>
    <s v="Memphis"/>
    <s v="TN"/>
    <n v="99999"/>
    <s v="USA"/>
    <s v="Credit Card"/>
    <s v="Crab Meat"/>
    <s v="Canned Meat"/>
    <n v="18.399999999999999"/>
    <n v="100"/>
    <n v="1839.9999999999998"/>
    <n v="184"/>
  </r>
  <r>
    <x v="290"/>
    <x v="126"/>
    <n v="9"/>
    <s v="Company I"/>
    <s v="123 9th Street"/>
    <s v="Salt Lake City"/>
    <s v="UT"/>
    <n v="99999"/>
    <s v="USA"/>
    <x v="7"/>
    <x v="0"/>
    <n v="41954"/>
    <s v="Shipping Company A"/>
    <s v="Sven Mortensen"/>
    <s v="123 9th Street"/>
    <s v="Salt Lake City"/>
    <s v="UT"/>
    <n v="99999"/>
    <s v="USA"/>
    <s v="Check"/>
    <s v="Ravioli"/>
    <s v="Pasta"/>
    <n v="19.5"/>
    <n v="87"/>
    <n v="1696.5"/>
    <n v="174.73950000000002"/>
  </r>
  <r>
    <x v="291"/>
    <x v="126"/>
    <n v="9"/>
    <s v="Company I"/>
    <s v="123 9th Street"/>
    <s v="Salt Lake City"/>
    <s v="UT"/>
    <n v="99999"/>
    <s v="USA"/>
    <x v="7"/>
    <x v="0"/>
    <n v="41954"/>
    <s v="Shipping Company A"/>
    <s v="Sven Mortensen"/>
    <s v="123 9th Street"/>
    <s v="Salt Lake City"/>
    <s v="UT"/>
    <n v="99999"/>
    <s v="USA"/>
    <s v="Check"/>
    <s v="Mozzarella"/>
    <s v="Dairy Products"/>
    <n v="34.799999999999997"/>
    <n v="58"/>
    <n v="2018.3999999999999"/>
    <n v="205.8768"/>
  </r>
  <r>
    <x v="292"/>
    <x v="127"/>
    <n v="6"/>
    <s v="Company F"/>
    <s v="123 6th Street"/>
    <s v="Milwaukee"/>
    <s v="WI"/>
    <n v="99999"/>
    <s v="USA"/>
    <x v="4"/>
    <x v="2"/>
    <n v="41951"/>
    <s v="Shipping Company B"/>
    <s v="Francisco Pérez-Olaeta"/>
    <s v="123 6th Street"/>
    <s v="Milwaukee"/>
    <s v="WI"/>
    <n v="99999"/>
    <s v="USA"/>
    <s v="Credit Card"/>
    <s v="Beer"/>
    <s v="Beverages"/>
    <n v="14"/>
    <n v="85"/>
    <n v="1190"/>
    <n v="120.19"/>
  </r>
  <r>
    <x v="293"/>
    <x v="128"/>
    <n v="8"/>
    <s v="Company H"/>
    <s v="123 8th Street"/>
    <s v="Portland"/>
    <s v="OR"/>
    <n v="99999"/>
    <s v="USA"/>
    <x v="2"/>
    <x v="2"/>
    <n v="41953"/>
    <s v="Shipping Company B"/>
    <s v="Elizabeth Andersen"/>
    <s v="123 8th Street"/>
    <s v="Portland"/>
    <s v="OR"/>
    <n v="99999"/>
    <s v="USA"/>
    <s v="Check"/>
    <s v="Curry Sauce"/>
    <s v="Sauces"/>
    <n v="40"/>
    <n v="28"/>
    <n v="1120"/>
    <n v="110.88"/>
  </r>
  <r>
    <x v="294"/>
    <x v="128"/>
    <n v="8"/>
    <s v="Company H"/>
    <s v="123 8th Street"/>
    <s v="Portland"/>
    <s v="OR"/>
    <n v="99999"/>
    <s v="USA"/>
    <x v="2"/>
    <x v="2"/>
    <d v="2014-11-10T00:00:00"/>
    <s v="Shipping Company B"/>
    <s v="Elizabeth Andersen"/>
    <s v="123 8th Street"/>
    <s v="Portland"/>
    <s v="OR"/>
    <n v="99999"/>
    <s v="USA"/>
    <s v="Check"/>
    <s v="Chocolate Biscuits Mix"/>
    <s v="Baked Goods &amp; Mixes"/>
    <n v="9.1999999999999993"/>
    <n v="19"/>
    <n v="174.79999999999998"/>
    <n v="17.130400000000002"/>
  </r>
  <r>
    <x v="295"/>
    <x v="129"/>
    <n v="25"/>
    <s v="Company Y"/>
    <s v="789 25th Street"/>
    <s v="Chicago"/>
    <s v="IL"/>
    <n v="99999"/>
    <s v="USA"/>
    <x v="6"/>
    <x v="1"/>
    <d v="2014-11-27T00:00:00"/>
    <s v="Shipping Company A"/>
    <s v="John Rodman"/>
    <s v="789 25th Street"/>
    <s v="Chicago"/>
    <s v="IL"/>
    <n v="99999"/>
    <s v="USA"/>
    <s v="Cash"/>
    <s v="Scones"/>
    <s v="Baked Goods &amp; Mixes"/>
    <n v="10"/>
    <n v="99"/>
    <n v="990"/>
    <n v="102.96000000000001"/>
  </r>
  <r>
    <x v="296"/>
    <x v="130"/>
    <n v="26"/>
    <s v="Company Z"/>
    <s v="789 26th Street"/>
    <s v="Miami"/>
    <s v="FL"/>
    <n v="99999"/>
    <s v="USA"/>
    <x v="5"/>
    <x v="3"/>
    <d v="2014-11-28T00:00:00"/>
    <s v="Shipping Company C"/>
    <s v="Run Liu"/>
    <s v="789 26th Street"/>
    <s v="Miami"/>
    <s v="FL"/>
    <n v="99999"/>
    <s v="USA"/>
    <s v="Credit Card"/>
    <s v="Olive Oil"/>
    <s v="Oil"/>
    <n v="21.35"/>
    <n v="69"/>
    <n v="1473.15"/>
    <n v="153.20760000000004"/>
  </r>
  <r>
    <x v="297"/>
    <x v="130"/>
    <n v="26"/>
    <s v="Company Z"/>
    <s v="789 26th Street"/>
    <s v="Miami"/>
    <s v="FL"/>
    <n v="99999"/>
    <s v="USA"/>
    <x v="5"/>
    <x v="3"/>
    <d v="2014-11-28T00:00:00"/>
    <s v="Shipping Company C"/>
    <s v="Run Liu"/>
    <s v="789 26th Street"/>
    <s v="Miami"/>
    <s v="FL"/>
    <n v="99999"/>
    <s v="USA"/>
    <s v="Credit Card"/>
    <s v="Clam Chowder"/>
    <s v="Soups"/>
    <n v="9.65"/>
    <n v="37"/>
    <n v="357.05"/>
    <n v="33.919750000000001"/>
  </r>
  <r>
    <x v="298"/>
    <x v="130"/>
    <n v="26"/>
    <s v="Company Z"/>
    <s v="789 26th Street"/>
    <s v="Miami"/>
    <s v="FL"/>
    <n v="99999"/>
    <s v="USA"/>
    <x v="5"/>
    <x v="3"/>
    <d v="2014-11-28T00:00:00"/>
    <s v="Shipping Company C"/>
    <s v="Run Liu"/>
    <s v="789 26th Street"/>
    <s v="Miami"/>
    <s v="FL"/>
    <n v="99999"/>
    <s v="USA"/>
    <s v="Credit Card"/>
    <s v="Crab Meat"/>
    <s v="Canned Meat"/>
    <n v="18.399999999999999"/>
    <n v="64"/>
    <n v="1177.5999999999999"/>
    <n v="118.93759999999999"/>
  </r>
  <r>
    <x v="299"/>
    <x v="131"/>
    <n v="29"/>
    <s v="Company CC"/>
    <s v="789 29th Street"/>
    <s v="Denver"/>
    <s v="CO"/>
    <n v="99999"/>
    <s v="USA"/>
    <x v="3"/>
    <x v="0"/>
    <d v="2014-12-01T00:00:00"/>
    <s v="Shipping Company B"/>
    <s v="Soo Jung Lee"/>
    <s v="789 29th Street"/>
    <s v="Denver"/>
    <s v="CO"/>
    <n v="99999"/>
    <s v="USA"/>
    <s v="Check"/>
    <s v="Beer"/>
    <s v="Beverages"/>
    <n v="14"/>
    <n v="38"/>
    <n v="532"/>
    <n v="55.328000000000003"/>
  </r>
  <r>
    <x v="300"/>
    <x v="127"/>
    <n v="6"/>
    <s v="Company F"/>
    <s v="123 6th Street"/>
    <s v="Milwaukee"/>
    <s v="WI"/>
    <n v="99999"/>
    <s v="USA"/>
    <x v="4"/>
    <x v="2"/>
    <d v="2014-11-08T00:00:00"/>
    <s v="Shipping Company C"/>
    <s v="Francisco Pérez-Olaeta"/>
    <s v="123 6th Street"/>
    <s v="Milwaukee"/>
    <s v="WI"/>
    <n v="99999"/>
    <s v="USA"/>
    <s v="Check"/>
    <s v="Chocolate"/>
    <s v="Candy"/>
    <n v="12.75"/>
    <n v="15"/>
    <n v="191.25"/>
    <n v="18.55125"/>
  </r>
  <r>
    <x v="301"/>
    <x v="132"/>
    <n v="4"/>
    <s v="Company D"/>
    <s v="123 4th Street"/>
    <s v="New York"/>
    <s v="NY"/>
    <n v="99999"/>
    <s v="USA"/>
    <x v="1"/>
    <x v="1"/>
    <d v="2014-11-06T00:00:00"/>
    <s v="Shipping Company A"/>
    <s v="Christina Lee"/>
    <s v="123 4th Street"/>
    <s v="New York"/>
    <s v="NY"/>
    <n v="99999"/>
    <s v="USA"/>
    <s v="Credit Card"/>
    <s v="Marmalade"/>
    <s v="Jams, Preserves"/>
    <n v="81"/>
    <n v="52"/>
    <n v="4212"/>
    <n v="412.77600000000001"/>
  </r>
  <r>
    <x v="302"/>
    <x v="132"/>
    <n v="4"/>
    <s v="Company D"/>
    <s v="123 4th Street"/>
    <s v="New York"/>
    <s v="NY"/>
    <n v="99999"/>
    <s v="USA"/>
    <x v="1"/>
    <x v="1"/>
    <d v="2014-11-06T00:00:00"/>
    <s v="Shipping Company A"/>
    <s v="Christina Lee"/>
    <s v="123 4th Street"/>
    <s v="New York"/>
    <s v="NY"/>
    <n v="99999"/>
    <s v="USA"/>
    <s v="Credit Card"/>
    <s v="Long Grain Rice"/>
    <s v="Grains"/>
    <n v="7"/>
    <n v="37"/>
    <n v="259"/>
    <n v="25.382000000000001"/>
  </r>
  <r>
    <x v="303"/>
    <x v="128"/>
    <n v="8"/>
    <s v="Company H"/>
    <s v="123 8th Street"/>
    <s v="Portland"/>
    <s v="OR"/>
    <n v="99999"/>
    <s v="USA"/>
    <x v="2"/>
    <x v="2"/>
    <d v="2014-11-10T00:00:00"/>
    <s v="Shipping Company C"/>
    <s v="Elizabeth Andersen"/>
    <s v="123 8th Street"/>
    <s v="Portland"/>
    <s v="OR"/>
    <n v="99999"/>
    <s v="USA"/>
    <s v="Credit Card"/>
    <s v="Mozzarella"/>
    <s v="Dairy Products"/>
    <n v="34.799999999999997"/>
    <n v="24"/>
    <n v="835.19999999999993"/>
    <n v="80.179199999999994"/>
  </r>
  <r>
    <x v="304"/>
    <x v="133"/>
    <n v="3"/>
    <s v="Company C"/>
    <s v="123 3rd Street"/>
    <s v="Los Angelas"/>
    <s v="CA"/>
    <n v="99999"/>
    <s v="USA"/>
    <x v="0"/>
    <x v="0"/>
    <d v="2014-11-05T00:00:00"/>
    <s v="Shipping Company B"/>
    <s v="Thomas Axerr"/>
    <s v="123 3rd Street"/>
    <s v="Los Angelas"/>
    <s v="CA"/>
    <n v="99999"/>
    <s v="USA"/>
    <s v="Cash"/>
    <s v="Syrup"/>
    <s v="Condiments"/>
    <n v="10"/>
    <n v="36"/>
    <n v="360"/>
    <n v="37.08"/>
  </r>
  <r>
    <x v="305"/>
    <x v="133"/>
    <n v="3"/>
    <s v="Company C"/>
    <s v="123 3rd Street"/>
    <s v="Los Angelas"/>
    <s v="CA"/>
    <n v="99999"/>
    <s v="USA"/>
    <x v="0"/>
    <x v="0"/>
    <d v="2014-11-05T00:00:00"/>
    <s v="Shipping Company B"/>
    <s v="Thomas Axerr"/>
    <s v="123 3rd Street"/>
    <s v="Los Angelas"/>
    <s v="CA"/>
    <n v="99999"/>
    <s v="USA"/>
    <s v="Cash"/>
    <s v="Curry Sauce"/>
    <s v="Sauces"/>
    <n v="40"/>
    <n v="24"/>
    <n v="960"/>
    <n v="96"/>
  </r>
  <r>
    <x v="306"/>
    <x v="122"/>
    <n v="10"/>
    <s v="Company J"/>
    <s v="123 10th Street"/>
    <s v="Chicago"/>
    <s v="IL"/>
    <n v="99999"/>
    <s v="USA"/>
    <x v="6"/>
    <x v="1"/>
    <d v="2014-11-12T00:00:00"/>
    <s v="Shipping Company B"/>
    <s v="Roland Wacker"/>
    <s v="123 10th Street"/>
    <s v="Chicago"/>
    <s v="IL"/>
    <n v="99999"/>
    <s v="USA"/>
    <s v="Credit Card"/>
    <s v="Almonds"/>
    <s v="Dried Fruit &amp; Nuts"/>
    <n v="10"/>
    <n v="20"/>
    <n v="200"/>
    <n v="20"/>
  </r>
  <r>
    <x v="307"/>
    <x v="122"/>
    <n v="10"/>
    <s v="Company J"/>
    <s v="123 10th Street"/>
    <s v="Chicago"/>
    <s v="IL"/>
    <n v="99999"/>
    <s v="USA"/>
    <x v="6"/>
    <x v="1"/>
    <m/>
    <s v="Shipping Company A"/>
    <s v="Roland Wacker"/>
    <s v="123 10th Street"/>
    <s v="Chicago"/>
    <s v="IL"/>
    <n v="99999"/>
    <s v="USA"/>
    <m/>
    <s v="Dried Plums"/>
    <s v="Dried Fruit &amp; Nuts"/>
    <n v="3.5"/>
    <n v="11"/>
    <n v="38.5"/>
    <n v="3.7345000000000002"/>
  </r>
  <r>
    <x v="308"/>
    <x v="123"/>
    <n v="11"/>
    <s v="Company K"/>
    <s v="123 11th Street"/>
    <s v="Miami"/>
    <s v="FL"/>
    <n v="99999"/>
    <s v="USA"/>
    <x v="5"/>
    <x v="3"/>
    <m/>
    <s v="Shipping Company C"/>
    <s v="Peter Krschne"/>
    <s v="123 11th Street"/>
    <s v="Miami"/>
    <s v="FL"/>
    <n v="99999"/>
    <s v="USA"/>
    <m/>
    <s v="Curry Sauce"/>
    <s v="Sauces"/>
    <n v="40"/>
    <n v="78"/>
    <n v="3120"/>
    <n v="299.52"/>
  </r>
  <r>
    <x v="309"/>
    <x v="124"/>
    <n v="1"/>
    <s v="Company A"/>
    <s v="123 1st Street"/>
    <s v="Seattle"/>
    <s v="WA"/>
    <n v="99999"/>
    <s v="USA"/>
    <x v="2"/>
    <x v="2"/>
    <m/>
    <s v="Shipping Company C"/>
    <s v="Anna Bedecs"/>
    <s v="123 1st Street"/>
    <s v="Seattle"/>
    <s v="WA"/>
    <n v="99999"/>
    <s v="USA"/>
    <m/>
    <s v="Crab Meat"/>
    <s v="Canned Meat"/>
    <n v="18.399999999999999"/>
    <n v="76"/>
    <n v="1398.3999999999999"/>
    <n v="144.0352"/>
  </r>
  <r>
    <x v="310"/>
    <x v="125"/>
    <n v="28"/>
    <s v="Company BB"/>
    <s v="789 28th Street"/>
    <s v="Memphis"/>
    <s v="TN"/>
    <n v="99999"/>
    <s v="USA"/>
    <x v="5"/>
    <x v="3"/>
    <d v="2014-11-30T00:00:00"/>
    <s v="Shipping Company C"/>
    <s v="Amritansh Raghav"/>
    <s v="789 28th Street"/>
    <s v="Memphis"/>
    <s v="TN"/>
    <n v="99999"/>
    <s v="USA"/>
    <s v="Credit Card"/>
    <s v="Coffee"/>
    <s v="Beverages"/>
    <n v="46"/>
    <n v="57"/>
    <n v="2622"/>
    <n v="272.68799999999999"/>
  </r>
  <r>
    <x v="311"/>
    <x v="126"/>
    <n v="9"/>
    <s v="Company I"/>
    <s v="123 9th Street"/>
    <s v="Salt Lake City"/>
    <s v="UT"/>
    <n v="99999"/>
    <s v="USA"/>
    <x v="7"/>
    <x v="0"/>
    <d v="2014-11-11T00:00:00"/>
    <s v="Shipping Company A"/>
    <s v="Sven Mortensen"/>
    <s v="123 9th Street"/>
    <s v="Salt Lake City"/>
    <s v="UT"/>
    <n v="99999"/>
    <s v="USA"/>
    <s v="Check"/>
    <s v="Clam Chowder"/>
    <s v="Soups"/>
    <n v="9.65"/>
    <n v="14"/>
    <n v="135.1"/>
    <n v="12.9696"/>
  </r>
  <r>
    <x v="312"/>
    <x v="134"/>
    <n v="27"/>
    <s v="Company AA"/>
    <s v="789 27th Street"/>
    <s v="Las Vegas"/>
    <s v="NV"/>
    <n v="99999"/>
    <s v="USA"/>
    <x v="0"/>
    <x v="0"/>
    <d v="2014-12-29T00:00:00"/>
    <s v="Shipping Company B"/>
    <s v="Karen Toh"/>
    <s v="789 27th Street"/>
    <s v="Las Vegas"/>
    <s v="NV"/>
    <n v="99999"/>
    <s v="USA"/>
    <s v="Check"/>
    <s v="Beer"/>
    <s v="Beverages"/>
    <n v="14"/>
    <n v="14"/>
    <n v="196"/>
    <n v="19.796000000000003"/>
  </r>
  <r>
    <x v="313"/>
    <x v="134"/>
    <n v="27"/>
    <s v="Company AA"/>
    <s v="789 27th Street"/>
    <s v="Las Vegas"/>
    <s v="NV"/>
    <n v="99999"/>
    <s v="USA"/>
    <x v="0"/>
    <x v="0"/>
    <d v="2014-12-29T00:00:00"/>
    <s v="Shipping Company B"/>
    <s v="Karen Toh"/>
    <s v="789 27th Street"/>
    <s v="Las Vegas"/>
    <s v="NV"/>
    <n v="99999"/>
    <s v="USA"/>
    <s v="Check"/>
    <s v="Dried Plums"/>
    <s v="Dried Fruit &amp; Nuts"/>
    <n v="3.5"/>
    <n v="70"/>
    <n v="245"/>
    <n v="25.234999999999999"/>
  </r>
  <r>
    <x v="314"/>
    <x v="135"/>
    <n v="4"/>
    <s v="Company D"/>
    <s v="123 4th Street"/>
    <s v="New York"/>
    <s v="NY"/>
    <n v="99999"/>
    <s v="USA"/>
    <x v="1"/>
    <x v="1"/>
    <d v="2014-12-06T00:00:00"/>
    <s v="Shipping Company A"/>
    <s v="Christina Lee"/>
    <s v="123 4th Street"/>
    <s v="New York"/>
    <s v="NY"/>
    <n v="99999"/>
    <s v="USA"/>
    <s v="Credit Card"/>
    <s v="Dried Pears"/>
    <s v="Dried Fruit &amp; Nuts"/>
    <n v="30"/>
    <n v="100"/>
    <n v="3000"/>
    <n v="291"/>
  </r>
  <r>
    <x v="315"/>
    <x v="135"/>
    <n v="4"/>
    <s v="Company D"/>
    <s v="123 4th Street"/>
    <s v="New York"/>
    <s v="NY"/>
    <n v="99999"/>
    <s v="USA"/>
    <x v="1"/>
    <x v="1"/>
    <d v="2014-12-06T00:00:00"/>
    <s v="Shipping Company A"/>
    <s v="Christina Lee"/>
    <s v="123 4th Street"/>
    <s v="New York"/>
    <s v="NY"/>
    <n v="99999"/>
    <s v="USA"/>
    <s v="Credit Card"/>
    <s v="Dried Apples"/>
    <s v="Dried Fruit &amp; Nuts"/>
    <n v="53"/>
    <n v="27"/>
    <n v="1431"/>
    <n v="143.1"/>
  </r>
  <r>
    <x v="316"/>
    <x v="135"/>
    <n v="4"/>
    <s v="Company D"/>
    <s v="123 4th Street"/>
    <s v="New York"/>
    <s v="NY"/>
    <n v="99999"/>
    <s v="USA"/>
    <x v="1"/>
    <x v="1"/>
    <d v="2014-12-06T00:00:00"/>
    <s v="Shipping Company A"/>
    <s v="Christina Lee"/>
    <s v="123 4th Street"/>
    <s v="New York"/>
    <s v="NY"/>
    <n v="99999"/>
    <s v="USA"/>
    <s v="Credit Card"/>
    <s v="Dried Plums"/>
    <s v="Dried Fruit &amp; Nuts"/>
    <n v="3.5"/>
    <n v="70"/>
    <n v="245"/>
    <n v="24.009999999999998"/>
  </r>
  <r>
    <x v="317"/>
    <x v="136"/>
    <n v="12"/>
    <s v="Company L"/>
    <s v="123 12th Street"/>
    <s v="Las Vegas"/>
    <s v="NV"/>
    <n v="99999"/>
    <s v="USA"/>
    <x v="0"/>
    <x v="0"/>
    <d v="2014-12-14T00:00:00"/>
    <s v="Shipping Company B"/>
    <s v="John Edwards"/>
    <s v="123 12th Street"/>
    <s v="Las Vegas"/>
    <s v="NV"/>
    <n v="99999"/>
    <s v="USA"/>
    <s v="Credit Card"/>
    <s v="Chai"/>
    <s v="Beverages"/>
    <n v="18"/>
    <n v="57"/>
    <n v="1026"/>
    <n v="102.60000000000001"/>
  </r>
  <r>
    <x v="318"/>
    <x v="136"/>
    <n v="12"/>
    <s v="Company L"/>
    <s v="123 12th Street"/>
    <s v="Las Vegas"/>
    <s v="NV"/>
    <n v="99999"/>
    <s v="USA"/>
    <x v="0"/>
    <x v="0"/>
    <d v="2014-12-14T00:00:00"/>
    <s v="Shipping Company B"/>
    <s v="John Edwards"/>
    <s v="123 12th Street"/>
    <s v="Las Vegas"/>
    <s v="NV"/>
    <n v="99999"/>
    <s v="USA"/>
    <s v="Credit Card"/>
    <s v="Coffee"/>
    <s v="Beverages"/>
    <n v="46"/>
    <n v="83"/>
    <n v="3818"/>
    <n v="374.16399999999999"/>
  </r>
  <r>
    <x v="319"/>
    <x v="137"/>
    <n v="8"/>
    <s v="Company H"/>
    <s v="123 8th Street"/>
    <s v="Portland"/>
    <s v="OR"/>
    <n v="99999"/>
    <s v="USA"/>
    <x v="2"/>
    <x v="2"/>
    <d v="2014-12-10T00:00:00"/>
    <s v="Shipping Company C"/>
    <s v="Elizabeth Andersen"/>
    <s v="123 8th Street"/>
    <s v="Portland"/>
    <s v="OR"/>
    <n v="99999"/>
    <s v="USA"/>
    <s v="Credit Card"/>
    <s v="Chocolate Biscuits Mix"/>
    <s v="Baked Goods &amp; Mixes"/>
    <n v="9.1999999999999993"/>
    <n v="76"/>
    <n v="699.19999999999993"/>
    <n v="67.123199999999997"/>
  </r>
  <r>
    <x v="320"/>
    <x v="135"/>
    <n v="4"/>
    <s v="Company D"/>
    <s v="123 4th Street"/>
    <s v="New York"/>
    <s v="NY"/>
    <n v="99999"/>
    <s v="USA"/>
    <x v="1"/>
    <x v="1"/>
    <n v="41979"/>
    <s v="Shipping Company C"/>
    <s v="Christina Lee"/>
    <s v="123 4th Street"/>
    <s v="New York"/>
    <s v="NY"/>
    <n v="99999"/>
    <s v="USA"/>
    <s v="Check"/>
    <s v="Chocolate Biscuits Mix"/>
    <s v="Baked Goods &amp; Mixes"/>
    <n v="9.1999999999999993"/>
    <n v="80"/>
    <n v="736"/>
    <n v="72.864000000000004"/>
  </r>
  <r>
    <x v="321"/>
    <x v="138"/>
    <n v="29"/>
    <s v="Company CC"/>
    <s v="789 29th Street"/>
    <s v="Denver"/>
    <s v="CO"/>
    <n v="99999"/>
    <s v="USA"/>
    <x v="3"/>
    <x v="0"/>
    <n v="42004"/>
    <s v="Shipping Company B"/>
    <s v="Soo Jung Lee"/>
    <s v="789 29th Street"/>
    <s v="Denver"/>
    <s v="CO"/>
    <n v="99999"/>
    <s v="USA"/>
    <s v="Check"/>
    <s v="Chocolate"/>
    <s v="Candy"/>
    <n v="12.75"/>
    <n v="47"/>
    <n v="599.25"/>
    <n v="59.325750000000006"/>
  </r>
  <r>
    <x v="322"/>
    <x v="139"/>
    <n v="3"/>
    <s v="Company C"/>
    <s v="123 3rd Street"/>
    <s v="Los Angelas"/>
    <s v="CA"/>
    <n v="99999"/>
    <s v="USA"/>
    <x v="0"/>
    <x v="0"/>
    <n v="41978"/>
    <s v="Shipping Company B"/>
    <s v="Thomas Axerr"/>
    <s v="123 3rd Street"/>
    <s v="Los Angelas"/>
    <s v="CA"/>
    <n v="99999"/>
    <s v="USA"/>
    <s v="Cash"/>
    <s v="Clam Chowder"/>
    <s v="Soups"/>
    <n v="9.65"/>
    <n v="96"/>
    <n v="926.40000000000009"/>
    <n v="94.492800000000017"/>
  </r>
  <r>
    <x v="323"/>
    <x v="140"/>
    <n v="6"/>
    <s v="Company F"/>
    <s v="123 6th Street"/>
    <s v="Milwaukee"/>
    <s v="WI"/>
    <n v="99999"/>
    <s v="USA"/>
    <x v="4"/>
    <x v="2"/>
    <n v="41981"/>
    <s v="Shipping Company B"/>
    <s v="Francisco Pérez-Olaeta"/>
    <s v="123 6th Street"/>
    <s v="Milwaukee"/>
    <s v="WI"/>
    <n v="99999"/>
    <s v="USA"/>
    <s v="Credit Card"/>
    <s v="Curry Sauce"/>
    <s v="Sauces"/>
    <n v="40"/>
    <n v="32"/>
    <n v="1280"/>
    <n v="134.4"/>
  </r>
  <r>
    <x v="324"/>
    <x v="141"/>
    <n v="28"/>
    <s v="Company BB"/>
    <s v="789 28th Street"/>
    <s v="Memphis"/>
    <s v="TN"/>
    <n v="99999"/>
    <s v="USA"/>
    <x v="5"/>
    <x v="3"/>
    <d v="2014-12-30T00:00:00"/>
    <s v="Shipping Company C"/>
    <s v="Amritansh Raghav"/>
    <s v="789 28th Street"/>
    <s v="Memphis"/>
    <s v="TN"/>
    <n v="99999"/>
    <s v="USA"/>
    <s v="Check"/>
    <s v="Coffee"/>
    <s v="Beverages"/>
    <n v="46"/>
    <n v="16"/>
    <n v="736"/>
    <n v="73.600000000000009"/>
  </r>
  <r>
    <x v="325"/>
    <x v="137"/>
    <n v="8"/>
    <s v="Company H"/>
    <s v="123 8th Street"/>
    <s v="Portland"/>
    <s v="OR"/>
    <n v="99999"/>
    <s v="USA"/>
    <x v="2"/>
    <x v="2"/>
    <d v="2014-12-10T00:00:00"/>
    <s v="Shipping Company C"/>
    <s v="Elizabeth Andersen"/>
    <s v="123 8th Street"/>
    <s v="Portland"/>
    <s v="OR"/>
    <n v="99999"/>
    <s v="USA"/>
    <s v="Check"/>
    <s v="Chocolate"/>
    <s v="Candy"/>
    <n v="12.75"/>
    <n v="41"/>
    <n v="522.75"/>
    <n v="51.229500000000002"/>
  </r>
  <r>
    <x v="326"/>
    <x v="142"/>
    <n v="10"/>
    <s v="Company J"/>
    <s v="123 10th Street"/>
    <s v="Chicago"/>
    <s v="IL"/>
    <n v="99999"/>
    <s v="USA"/>
    <x v="6"/>
    <x v="1"/>
    <d v="2014-12-12T00:00:00"/>
    <s v="Shipping Company B"/>
    <s v="Roland Wacker"/>
    <s v="123 10th Street"/>
    <s v="Chicago"/>
    <s v="IL"/>
    <n v="99999"/>
    <s v="USA"/>
    <s v="Credit Card"/>
    <s v="Green Tea"/>
    <s v="Beverages"/>
    <n v="2.99"/>
    <n v="41"/>
    <n v="122.59"/>
    <n v="12.871950000000002"/>
  </r>
  <r>
    <x v="327"/>
    <x v="143"/>
    <n v="7"/>
    <s v="Company G"/>
    <s v="123 7th Street"/>
    <s v="Boise"/>
    <s v="ID"/>
    <n v="99999"/>
    <s v="USA"/>
    <x v="2"/>
    <x v="2"/>
    <m/>
    <m/>
    <s v="Ming-Yang Xie"/>
    <s v="123 7th Street"/>
    <s v="Boise"/>
    <s v="ID"/>
    <n v="99999"/>
    <s v="USA"/>
    <m/>
    <s v="Coffee"/>
    <s v="Beverages"/>
    <n v="46"/>
    <n v="41"/>
    <n v="1886"/>
    <n v="194.25800000000004"/>
  </r>
  <r>
    <x v="328"/>
    <x v="142"/>
    <n v="10"/>
    <s v="Company J"/>
    <s v="123 10th Street"/>
    <s v="Chicago"/>
    <s v="IL"/>
    <n v="99999"/>
    <s v="USA"/>
    <x v="6"/>
    <x v="1"/>
    <d v="2014-12-12T00:00:00"/>
    <s v="Shipping Company A"/>
    <s v="Roland Wacker"/>
    <s v="123 10th Street"/>
    <s v="Chicago"/>
    <s v="IL"/>
    <n v="99999"/>
    <s v="USA"/>
    <m/>
    <s v="Boysenberry Spread"/>
    <s v="Jams, Preserves"/>
    <n v="25"/>
    <n v="94"/>
    <n v="2350"/>
    <n v="235"/>
  </r>
  <r>
    <x v="329"/>
    <x v="142"/>
    <n v="10"/>
    <s v="Company J"/>
    <s v="123 10th Street"/>
    <s v="Chicago"/>
    <s v="IL"/>
    <n v="99999"/>
    <s v="USA"/>
    <x v="6"/>
    <x v="1"/>
    <d v="2014-12-12T00:00:00"/>
    <s v="Shipping Company A"/>
    <s v="Roland Wacker"/>
    <s v="123 10th Street"/>
    <s v="Chicago"/>
    <s v="IL"/>
    <n v="99999"/>
    <s v="USA"/>
    <m/>
    <s v="Cajun Seasoning"/>
    <s v="Condiments"/>
    <n v="22"/>
    <n v="20"/>
    <n v="440"/>
    <n v="46.2"/>
  </r>
  <r>
    <x v="330"/>
    <x v="142"/>
    <n v="10"/>
    <s v="Company J"/>
    <s v="123 10th Street"/>
    <s v="Chicago"/>
    <s v="IL"/>
    <n v="99999"/>
    <s v="USA"/>
    <x v="6"/>
    <x v="1"/>
    <n v="41985"/>
    <s v="Shipping Company A"/>
    <s v="Roland Wacker"/>
    <s v="123 10th Street"/>
    <s v="Chicago"/>
    <s v="IL"/>
    <n v="99999"/>
    <s v="USA"/>
    <m/>
    <s v="Chocolate Biscuits Mix"/>
    <s v="Baked Goods &amp; Mixes"/>
    <n v="9.1999999999999993"/>
    <n v="13"/>
    <n v="119.6"/>
    <n v="12.438400000000001"/>
  </r>
  <r>
    <x v="331"/>
    <x v="144"/>
    <n v="11"/>
    <s v="Company K"/>
    <s v="123 11th Street"/>
    <s v="Miami"/>
    <s v="FL"/>
    <n v="99999"/>
    <s v="USA"/>
    <x v="5"/>
    <x v="3"/>
    <m/>
    <s v="Shipping Company C"/>
    <s v="Peter Krschne"/>
    <s v="123 11th Street"/>
    <s v="Miami"/>
    <s v="FL"/>
    <n v="99999"/>
    <s v="USA"/>
    <m/>
    <s v="Dried Plums"/>
    <s v="Dried Fruit &amp; Nuts"/>
    <n v="3.5"/>
    <n v="74"/>
    <n v="259"/>
    <n v="26.936000000000003"/>
  </r>
  <r>
    <x v="332"/>
    <x v="144"/>
    <n v="11"/>
    <s v="Company K"/>
    <s v="123 11th Street"/>
    <s v="Miami"/>
    <s v="FL"/>
    <n v="99999"/>
    <s v="USA"/>
    <x v="5"/>
    <x v="3"/>
    <m/>
    <s v="Shipping Company C"/>
    <s v="Peter Krschne"/>
    <s v="123 11th Street"/>
    <s v="Miami"/>
    <s v="FL"/>
    <n v="99999"/>
    <s v="USA"/>
    <m/>
    <s v="Green Tea"/>
    <s v="Beverages"/>
    <n v="2.99"/>
    <n v="53"/>
    <n v="158.47"/>
    <n v="16.005470000000003"/>
  </r>
  <r>
    <x v="333"/>
    <x v="145"/>
    <n v="1"/>
    <s v="Company A"/>
    <s v="123 1st Street"/>
    <s v="Seattle"/>
    <s v="WA"/>
    <n v="99999"/>
    <s v="USA"/>
    <x v="2"/>
    <x v="2"/>
    <m/>
    <m/>
    <s v="Anna Bedecs"/>
    <s v="123 1st Street"/>
    <s v="Seattle"/>
    <s v="WA"/>
    <n v="99999"/>
    <s v="USA"/>
    <m/>
    <s v="Chai"/>
    <s v="Beverages"/>
    <n v="18"/>
    <n v="99"/>
    <n v="1782"/>
    <n v="174.63600000000002"/>
  </r>
  <r>
    <x v="334"/>
    <x v="145"/>
    <n v="1"/>
    <s v="Company A"/>
    <s v="123 1st Street"/>
    <s v="Seattle"/>
    <s v="WA"/>
    <n v="99999"/>
    <s v="USA"/>
    <x v="2"/>
    <x v="2"/>
    <m/>
    <m/>
    <s v="Anna Bedecs"/>
    <s v="123 1st Street"/>
    <s v="Seattle"/>
    <s v="WA"/>
    <n v="99999"/>
    <s v="USA"/>
    <m/>
    <s v="Coffee"/>
    <s v="Beverages"/>
    <n v="46"/>
    <n v="89"/>
    <n v="4094"/>
    <n v="388.93"/>
  </r>
  <r>
    <x v="335"/>
    <x v="145"/>
    <n v="1"/>
    <s v="Company A"/>
    <s v="123 1st Street"/>
    <s v="Seattle"/>
    <s v="WA"/>
    <n v="99999"/>
    <s v="USA"/>
    <x v="2"/>
    <x v="2"/>
    <m/>
    <m/>
    <s v="Anna Bedecs"/>
    <s v="123 1st Street"/>
    <s v="Seattle"/>
    <s v="WA"/>
    <n v="99999"/>
    <s v="USA"/>
    <m/>
    <s v="Green Tea"/>
    <s v="Beverages"/>
    <n v="2.99"/>
    <n v="64"/>
    <n v="191.36"/>
    <n v="19.518720000000002"/>
  </r>
  <r>
    <x v="336"/>
    <x v="141"/>
    <n v="28"/>
    <s v="Company BB"/>
    <s v="789 28th Street"/>
    <s v="Memphis"/>
    <s v="TN"/>
    <n v="99999"/>
    <s v="USA"/>
    <x v="5"/>
    <x v="3"/>
    <d v="2014-12-30T00:00:00"/>
    <s v="Shipping Company C"/>
    <s v="Amritansh Raghav"/>
    <s v="789 28th Street"/>
    <s v="Memphis"/>
    <s v="TN"/>
    <n v="99999"/>
    <s v="USA"/>
    <s v="Credit Card"/>
    <s v="Clam Chowder"/>
    <s v="Soups"/>
    <n v="9.65"/>
    <n v="98"/>
    <n v="945.7"/>
    <n v="96.461400000000012"/>
  </r>
  <r>
    <x v="337"/>
    <x v="141"/>
    <n v="28"/>
    <s v="Company BB"/>
    <s v="789 28th Street"/>
    <s v="Memphis"/>
    <s v="TN"/>
    <n v="99999"/>
    <s v="USA"/>
    <x v="5"/>
    <x v="3"/>
    <d v="2014-12-30T00:00:00"/>
    <s v="Shipping Company C"/>
    <s v="Amritansh Raghav"/>
    <s v="789 28th Street"/>
    <s v="Memphis"/>
    <s v="TN"/>
    <n v="99999"/>
    <s v="USA"/>
    <s v="Credit Card"/>
    <s v="Crab Meat"/>
    <s v="Canned Meat"/>
    <n v="18.399999999999999"/>
    <n v="86"/>
    <n v="1582.3999999999999"/>
    <n v="155.0752"/>
  </r>
  <r>
    <x v="338"/>
    <x v="146"/>
    <n v="9"/>
    <s v="Company I"/>
    <s v="123 9th Street"/>
    <s v="Salt Lake City"/>
    <s v="UT"/>
    <n v="99999"/>
    <s v="USA"/>
    <x v="7"/>
    <x v="0"/>
    <d v="2014-12-11T00:00:00"/>
    <s v="Shipping Company A"/>
    <s v="Sven Mortensen"/>
    <s v="123 9th Street"/>
    <s v="Salt Lake City"/>
    <s v="UT"/>
    <n v="99999"/>
    <s v="USA"/>
    <s v="Check"/>
    <s v="Ravioli"/>
    <s v="Pasta"/>
    <n v="19.5"/>
    <n v="20"/>
    <n v="390"/>
    <n v="40.950000000000003"/>
  </r>
  <r>
    <x v="339"/>
    <x v="146"/>
    <n v="9"/>
    <s v="Company I"/>
    <s v="123 9th Street"/>
    <s v="Salt Lake City"/>
    <s v="UT"/>
    <n v="99999"/>
    <s v="USA"/>
    <x v="7"/>
    <x v="0"/>
    <d v="2014-12-11T00:00:00"/>
    <s v="Shipping Company A"/>
    <s v="Sven Mortensen"/>
    <s v="123 9th Street"/>
    <s v="Salt Lake City"/>
    <s v="UT"/>
    <n v="99999"/>
    <s v="USA"/>
    <s v="Check"/>
    <s v="Mozzarella"/>
    <s v="Dairy Products"/>
    <n v="34.799999999999997"/>
    <n v="69"/>
    <n v="2401.1999999999998"/>
    <n v="240.12"/>
  </r>
  <r>
    <x v="340"/>
    <x v="140"/>
    <n v="6"/>
    <s v="Company F"/>
    <s v="123 6th Street"/>
    <s v="Milwaukee"/>
    <s v="WI"/>
    <n v="99999"/>
    <s v="USA"/>
    <x v="4"/>
    <x v="2"/>
    <d v="2014-12-08T00:00:00"/>
    <s v="Shipping Company B"/>
    <s v="Francisco Pérez-Olaeta"/>
    <s v="123 6th Street"/>
    <s v="Milwaukee"/>
    <s v="WI"/>
    <n v="99999"/>
    <s v="USA"/>
    <s v="Credit Card"/>
    <s v="Beer"/>
    <s v="Beverages"/>
    <n v="14"/>
    <n v="68"/>
    <n v="952"/>
    <n v="91.391999999999996"/>
  </r>
  <r>
    <x v="341"/>
    <x v="137"/>
    <n v="8"/>
    <s v="Company H"/>
    <s v="123 8th Street"/>
    <s v="Portland"/>
    <s v="OR"/>
    <n v="99999"/>
    <s v="USA"/>
    <x v="2"/>
    <x v="2"/>
    <d v="2014-12-10T00:00:00"/>
    <s v="Shipping Company B"/>
    <s v="Elizabeth Andersen"/>
    <s v="123 8th Street"/>
    <s v="Portland"/>
    <s v="OR"/>
    <n v="99999"/>
    <s v="USA"/>
    <s v="Check"/>
    <s v="Curry Sauce"/>
    <s v="Sauces"/>
    <n v="40"/>
    <n v="52"/>
    <n v="2080"/>
    <n v="203.84"/>
  </r>
  <r>
    <x v="342"/>
    <x v="137"/>
    <n v="8"/>
    <s v="Company H"/>
    <s v="123 8th Street"/>
    <s v="Portland"/>
    <s v="OR"/>
    <n v="99999"/>
    <s v="USA"/>
    <x v="2"/>
    <x v="2"/>
    <d v="2014-12-10T00:00:00"/>
    <s v="Shipping Company B"/>
    <s v="Elizabeth Andersen"/>
    <s v="123 8th Street"/>
    <s v="Portland"/>
    <s v="OR"/>
    <n v="99999"/>
    <s v="USA"/>
    <s v="Check"/>
    <s v="Chocolate Biscuits Mix"/>
    <s v="Baked Goods &amp; Mixes"/>
    <n v="9.1999999999999993"/>
    <n v="40"/>
    <n v="368"/>
    <n v="38.640000000000008"/>
  </r>
  <r>
    <x v="343"/>
    <x v="147"/>
    <n v="25"/>
    <s v="Company Y"/>
    <s v="789 25th Street"/>
    <s v="Chicago"/>
    <s v="IL"/>
    <n v="99999"/>
    <s v="USA"/>
    <x v="6"/>
    <x v="1"/>
    <d v="2014-12-27T00:00:00"/>
    <s v="Shipping Company A"/>
    <s v="John Rodman"/>
    <s v="789 25th Street"/>
    <s v="Chicago"/>
    <s v="IL"/>
    <n v="99999"/>
    <s v="USA"/>
    <s v="Cash"/>
    <s v="Scones"/>
    <s v="Baked Goods &amp; Mixes"/>
    <n v="10"/>
    <n v="100"/>
    <n v="1000"/>
    <n v="98"/>
  </r>
  <r>
    <x v="344"/>
    <x v="148"/>
    <n v="26"/>
    <s v="Company Z"/>
    <s v="789 26th Street"/>
    <s v="Miami"/>
    <s v="FL"/>
    <n v="99999"/>
    <s v="USA"/>
    <x v="5"/>
    <x v="3"/>
    <d v="2014-12-28T00:00:00"/>
    <s v="Shipping Company C"/>
    <s v="Run Liu"/>
    <s v="789 26th Street"/>
    <s v="Miami"/>
    <s v="FL"/>
    <n v="99999"/>
    <s v="USA"/>
    <s v="Credit Card"/>
    <s v="Olive Oil"/>
    <s v="Oil"/>
    <n v="21.35"/>
    <n v="88"/>
    <n v="1878.8000000000002"/>
    <n v="184.12240000000003"/>
  </r>
  <r>
    <x v="345"/>
    <x v="148"/>
    <n v="26"/>
    <s v="Company Z"/>
    <s v="789 26th Street"/>
    <s v="Miami"/>
    <s v="FL"/>
    <n v="99999"/>
    <s v="USA"/>
    <x v="5"/>
    <x v="3"/>
    <d v="2014-12-28T00:00:00"/>
    <s v="Shipping Company C"/>
    <s v="Run Liu"/>
    <s v="789 26th Street"/>
    <s v="Miami"/>
    <s v="FL"/>
    <n v="99999"/>
    <s v="USA"/>
    <s v="Credit Card"/>
    <s v="Clam Chowder"/>
    <s v="Soups"/>
    <n v="9.65"/>
    <n v="46"/>
    <n v="443.90000000000003"/>
    <n v="42.614400000000003"/>
  </r>
  <r>
    <x v="346"/>
    <x v="148"/>
    <n v="26"/>
    <s v="Company Z"/>
    <s v="789 26th Street"/>
    <s v="Miami"/>
    <s v="FL"/>
    <n v="99999"/>
    <s v="USA"/>
    <x v="5"/>
    <x v="3"/>
    <d v="2014-12-28T00:00:00"/>
    <s v="Shipping Company C"/>
    <s v="Run Liu"/>
    <s v="789 26th Street"/>
    <s v="Miami"/>
    <s v="FL"/>
    <n v="99999"/>
    <s v="USA"/>
    <s v="Credit Card"/>
    <s v="Crab Meat"/>
    <s v="Canned Meat"/>
    <n v="18.399999999999999"/>
    <n v="93"/>
    <n v="1711.1999999999998"/>
    <n v="167.69759999999999"/>
  </r>
  <r>
    <x v="347"/>
    <x v="138"/>
    <n v="29"/>
    <s v="Company CC"/>
    <s v="789 29th Street"/>
    <s v="Denver"/>
    <s v="CO"/>
    <n v="99999"/>
    <s v="USA"/>
    <x v="3"/>
    <x v="0"/>
    <d v="2014-12-31T00:00:00"/>
    <s v="Shipping Company B"/>
    <s v="Soo Jung Lee"/>
    <s v="789 29th Street"/>
    <s v="Denver"/>
    <s v="CO"/>
    <n v="99999"/>
    <s v="USA"/>
    <s v="Check"/>
    <s v="Beer"/>
    <s v="Beverages"/>
    <n v="14"/>
    <n v="96"/>
    <n v="1344"/>
    <n v="141.12"/>
  </r>
  <r>
    <x v="348"/>
    <x v="140"/>
    <n v="6"/>
    <s v="Company F"/>
    <s v="123 6th Street"/>
    <s v="Milwaukee"/>
    <s v="WI"/>
    <n v="99999"/>
    <s v="USA"/>
    <x v="4"/>
    <x v="2"/>
    <d v="2014-12-08T00:00:00"/>
    <s v="Shipping Company C"/>
    <s v="Francisco Pérez-Olaeta"/>
    <s v="123 6th Street"/>
    <s v="Milwaukee"/>
    <s v="WI"/>
    <n v="99999"/>
    <s v="USA"/>
    <s v="Check"/>
    <s v="Chocolate"/>
    <s v="Candy"/>
    <n v="12.75"/>
    <n v="12"/>
    <n v="153"/>
    <n v="16.065000000000001"/>
  </r>
  <r>
    <x v="349"/>
    <x v="135"/>
    <n v="4"/>
    <s v="Company D"/>
    <s v="123 4th Street"/>
    <s v="New York"/>
    <s v="NY"/>
    <n v="99999"/>
    <s v="USA"/>
    <x v="1"/>
    <x v="1"/>
    <d v="2014-12-06T00:00:00"/>
    <s v="Shipping Company A"/>
    <s v="Christina Lee"/>
    <s v="123 4th Street"/>
    <s v="New York"/>
    <s v="NY"/>
    <n v="99999"/>
    <s v="USA"/>
    <s v="Credit Card"/>
    <s v="Marmalade"/>
    <s v="Jams, Preserves"/>
    <n v="81"/>
    <n v="38"/>
    <n v="3078"/>
    <n v="292.41000000000003"/>
  </r>
  <r>
    <x v="350"/>
    <x v="135"/>
    <n v="4"/>
    <s v="Company D"/>
    <s v="123 4th Street"/>
    <s v="New York"/>
    <s v="NY"/>
    <n v="99999"/>
    <s v="USA"/>
    <x v="1"/>
    <x v="1"/>
    <d v="2014-12-06T00:00:00"/>
    <s v="Shipping Company A"/>
    <s v="Christina Lee"/>
    <s v="123 4th Street"/>
    <s v="New York"/>
    <s v="NY"/>
    <n v="99999"/>
    <s v="USA"/>
    <s v="Credit Card"/>
    <s v="Long Grain Rice"/>
    <s v="Grains"/>
    <n v="7"/>
    <n v="42"/>
    <n v="294"/>
    <n v="29.106000000000002"/>
  </r>
  <r>
    <x v="351"/>
    <x v="137"/>
    <n v="8"/>
    <s v="Company H"/>
    <s v="123 8th Street"/>
    <s v="Portland"/>
    <s v="OR"/>
    <n v="99999"/>
    <s v="USA"/>
    <x v="2"/>
    <x v="2"/>
    <d v="2014-12-10T00:00:00"/>
    <s v="Shipping Company C"/>
    <s v="Elizabeth Andersen"/>
    <s v="123 8th Street"/>
    <s v="Portland"/>
    <s v="OR"/>
    <n v="99999"/>
    <s v="USA"/>
    <s v="Credit Card"/>
    <s v="Mozzarella"/>
    <s v="Dairy Products"/>
    <n v="34.799999999999997"/>
    <n v="100"/>
    <n v="3479.9999999999995"/>
    <n v="344.52"/>
  </r>
  <r>
    <x v="352"/>
    <x v="139"/>
    <n v="3"/>
    <s v="Company C"/>
    <s v="123 3rd Street"/>
    <s v="Los Angelas"/>
    <s v="CA"/>
    <n v="99999"/>
    <s v="USA"/>
    <x v="0"/>
    <x v="0"/>
    <d v="2014-12-05T00:00:00"/>
    <s v="Shipping Company B"/>
    <s v="Thomas Axerr"/>
    <s v="123 3rd Street"/>
    <s v="Los Angelas"/>
    <s v="CA"/>
    <n v="99999"/>
    <s v="USA"/>
    <s v="Cash"/>
    <s v="Syrup"/>
    <s v="Condiments"/>
    <n v="10"/>
    <n v="89"/>
    <n v="890"/>
    <n v="87.22"/>
  </r>
  <r>
    <x v="353"/>
    <x v="139"/>
    <n v="3"/>
    <s v="Company C"/>
    <s v="123 3rd Street"/>
    <s v="Los Angelas"/>
    <s v="CA"/>
    <n v="99999"/>
    <s v="USA"/>
    <x v="0"/>
    <x v="0"/>
    <d v="2014-12-05T00:00:00"/>
    <s v="Shipping Company B"/>
    <s v="Thomas Axerr"/>
    <s v="123 3rd Street"/>
    <s v="Los Angelas"/>
    <s v="CA"/>
    <n v="99999"/>
    <s v="USA"/>
    <s v="Cash"/>
    <s v="Curry Sauce"/>
    <s v="Sauces"/>
    <n v="40"/>
    <n v="12"/>
    <n v="480"/>
    <n v="46.56"/>
  </r>
  <r>
    <x v="354"/>
    <x v="142"/>
    <n v="10"/>
    <s v="Company J"/>
    <s v="123 10th Street"/>
    <s v="Chicago"/>
    <s v="IL"/>
    <n v="99999"/>
    <s v="USA"/>
    <x v="6"/>
    <x v="1"/>
    <d v="2014-12-12T00:00:00"/>
    <s v="Shipping Company B"/>
    <s v="Roland Wacker"/>
    <s v="123 10th Street"/>
    <s v="Chicago"/>
    <s v="IL"/>
    <n v="99999"/>
    <s v="USA"/>
    <s v="Credit Card"/>
    <s v="Almonds"/>
    <s v="Dried Fruit &amp; Nuts"/>
    <n v="10"/>
    <n v="97"/>
    <n v="970"/>
    <n v="100.88000000000001"/>
  </r>
  <r>
    <x v="355"/>
    <x v="142"/>
    <n v="10"/>
    <s v="Company J"/>
    <s v="123 10th Street"/>
    <s v="Chicago"/>
    <s v="IL"/>
    <n v="99999"/>
    <s v="USA"/>
    <x v="6"/>
    <x v="1"/>
    <m/>
    <s v="Shipping Company A"/>
    <s v="Roland Wacker"/>
    <s v="123 10th Street"/>
    <s v="Chicago"/>
    <s v="IL"/>
    <n v="99999"/>
    <s v="USA"/>
    <m/>
    <s v="Dried Plums"/>
    <s v="Dried Fruit &amp; Nuts"/>
    <n v="3.5"/>
    <n v="53"/>
    <n v="185.5"/>
    <n v="17.622499999999999"/>
  </r>
  <r>
    <x v="356"/>
    <x v="144"/>
    <n v="11"/>
    <s v="Company K"/>
    <s v="123 11th Street"/>
    <s v="Miami"/>
    <s v="FL"/>
    <n v="99999"/>
    <s v="USA"/>
    <x v="5"/>
    <x v="3"/>
    <m/>
    <s v="Shipping Company C"/>
    <s v="Peter Krschne"/>
    <s v="123 11th Street"/>
    <s v="Miami"/>
    <s v="FL"/>
    <n v="99999"/>
    <s v="USA"/>
    <m/>
    <s v="Curry Sauce"/>
    <s v="Sauces"/>
    <n v="40"/>
    <n v="61"/>
    <n v="2440"/>
    <n v="248.88"/>
  </r>
  <r>
    <x v="357"/>
    <x v="145"/>
    <n v="1"/>
    <s v="Company A"/>
    <s v="123 1st Street"/>
    <s v="Seattle"/>
    <s v="WA"/>
    <n v="99999"/>
    <s v="USA"/>
    <x v="2"/>
    <x v="2"/>
    <m/>
    <s v="Shipping Company C"/>
    <s v="Anna Bedecs"/>
    <s v="123 1st Street"/>
    <s v="Seattle"/>
    <s v="WA"/>
    <n v="99999"/>
    <s v="USA"/>
    <m/>
    <s v="Crab Meat"/>
    <s v="Canned Meat"/>
    <n v="18.399999999999999"/>
    <n v="45"/>
    <n v="827.99999999999989"/>
    <n v="81.143999999999991"/>
  </r>
  <r>
    <x v="358"/>
    <x v="141"/>
    <n v="28"/>
    <s v="Company BB"/>
    <s v="789 28th Street"/>
    <s v="Memphis"/>
    <s v="TN"/>
    <n v="99999"/>
    <s v="USA"/>
    <x v="5"/>
    <x v="3"/>
    <d v="2014-12-30T00:00:00"/>
    <s v="Shipping Company C"/>
    <s v="Amritansh Raghav"/>
    <s v="789 28th Street"/>
    <s v="Memphis"/>
    <s v="TN"/>
    <n v="99999"/>
    <s v="USA"/>
    <s v="Credit Card"/>
    <s v="Coffee"/>
    <s v="Beverages"/>
    <n v="46"/>
    <n v="43"/>
    <n v="1978"/>
    <n v="197.8"/>
  </r>
  <r>
    <x v="359"/>
    <x v="146"/>
    <n v="9"/>
    <s v="Company I"/>
    <s v="123 9th Street"/>
    <s v="Salt Lake City"/>
    <s v="UT"/>
    <n v="99999"/>
    <s v="USA"/>
    <x v="7"/>
    <x v="0"/>
    <d v="2014-12-11T00:00:00"/>
    <s v="Shipping Company A"/>
    <s v="Sven Mortensen"/>
    <s v="123 9th Street"/>
    <s v="Salt Lake City"/>
    <s v="UT"/>
    <n v="99999"/>
    <s v="USA"/>
    <s v="Check"/>
    <s v="Clam Chowder"/>
    <s v="Soups"/>
    <n v="9.65"/>
    <n v="18"/>
    <n v="173.70000000000002"/>
    <n v="16.5015"/>
  </r>
  <r>
    <x v="360"/>
    <x v="140"/>
    <n v="6"/>
    <s v="Company F"/>
    <s v="123 6th Street"/>
    <s v="Milwaukee"/>
    <s v="WI"/>
    <n v="99999"/>
    <s v="USA"/>
    <x v="4"/>
    <x v="2"/>
    <d v="2014-12-08T00:00:00"/>
    <s v="Shipping Company B"/>
    <s v="Francisco Pérez-Olaeta"/>
    <s v="123 6th Street"/>
    <s v="Milwaukee"/>
    <s v="WI"/>
    <n v="99999"/>
    <s v="USA"/>
    <s v="Credit Card"/>
    <s v="Chocolate"/>
    <s v="Candy"/>
    <n v="12.75"/>
    <n v="41"/>
    <n v="522.75"/>
    <n v="50.706750000000007"/>
  </r>
  <r>
    <x v="361"/>
    <x v="137"/>
    <n v="8"/>
    <s v="Company H"/>
    <s v="123 8th Street"/>
    <s v="Portland"/>
    <s v="OR"/>
    <n v="99999"/>
    <s v="USA"/>
    <x v="2"/>
    <x v="2"/>
    <n v="41983"/>
    <s v="Shipping Company B"/>
    <s v="Elizabeth Andersen"/>
    <s v="123 8th Street"/>
    <s v="Portland"/>
    <s v="OR"/>
    <n v="99999"/>
    <s v="USA"/>
    <s v="Check"/>
    <s v="Chocolate"/>
    <s v="Candy"/>
    <n v="12.75"/>
    <n v="19"/>
    <n v="242.25"/>
    <n v="23.982750000000003"/>
  </r>
  <r>
    <x v="362"/>
    <x v="147"/>
    <n v="25"/>
    <s v="Company Y"/>
    <s v="789 25th Street"/>
    <s v="Chicago"/>
    <s v="IL"/>
    <n v="99999"/>
    <s v="USA"/>
    <x v="6"/>
    <x v="1"/>
    <n v="42000"/>
    <s v="Shipping Company A"/>
    <s v="John Rodman"/>
    <s v="789 25th Street"/>
    <s v="Chicago"/>
    <s v="IL"/>
    <n v="99999"/>
    <s v="USA"/>
    <s v="Cash"/>
    <s v="Cajun Seasoning"/>
    <s v="Condiments"/>
    <n v="22"/>
    <n v="65"/>
    <n v="1430"/>
    <n v="138.71"/>
  </r>
  <r>
    <x v="363"/>
    <x v="148"/>
    <n v="26"/>
    <s v="Company Z"/>
    <s v="789 26th Street"/>
    <s v="Miami"/>
    <s v="FL"/>
    <n v="99999"/>
    <s v="USA"/>
    <x v="5"/>
    <x v="3"/>
    <n v="42001"/>
    <s v="Shipping Company C"/>
    <s v="Run Liu"/>
    <s v="789 26th Street"/>
    <s v="Miami"/>
    <s v="FL"/>
    <n v="99999"/>
    <s v="USA"/>
    <s v="Credit Card"/>
    <s v="Boysenberry Spread"/>
    <s v="Jams, Preserves"/>
    <n v="25"/>
    <n v="13"/>
    <n v="325"/>
    <n v="32.174999999999997"/>
  </r>
  <r>
    <x v="364"/>
    <x v="138"/>
    <n v="29"/>
    <s v="Company CC"/>
    <s v="789 29th Street"/>
    <s v="Denver"/>
    <s v="CO"/>
    <n v="99999"/>
    <s v="USA"/>
    <x v="3"/>
    <x v="0"/>
    <n v="42004"/>
    <s v="Shipping Company B"/>
    <s v="Soo Jung Lee"/>
    <s v="789 29th Street"/>
    <s v="Denver"/>
    <s v="CO"/>
    <n v="99999"/>
    <s v="USA"/>
    <s v="Check"/>
    <s v="Fruit Cocktail"/>
    <s v="Fruit &amp; Veg"/>
    <n v="39"/>
    <n v="54"/>
    <n v="2106"/>
    <n v="214.81200000000004"/>
  </r>
  <r>
    <x v="365"/>
    <x v="140"/>
    <n v="6"/>
    <s v="Company F"/>
    <s v="123 6th Street"/>
    <s v="Milwaukee"/>
    <s v="WI"/>
    <n v="99999"/>
    <s v="USA"/>
    <x v="4"/>
    <x v="2"/>
    <d v="2014-12-08T00:00:00"/>
    <s v="Shipping Company C"/>
    <s v="Francisco Pérez-Olaeta"/>
    <s v="123 6th Street"/>
    <s v="Milwaukee"/>
    <s v="WI"/>
    <n v="99999"/>
    <s v="USA"/>
    <s v="Check"/>
    <s v="Dried Pears"/>
    <s v="Dried Fruit &amp; Nuts"/>
    <n v="30"/>
    <n v="33"/>
    <n v="990"/>
    <n v="95.039999999999992"/>
  </r>
  <r>
    <x v="366"/>
    <x v="140"/>
    <n v="6"/>
    <s v="Company F"/>
    <s v="123 6th Street"/>
    <s v="Milwaukee"/>
    <s v="WI"/>
    <n v="99999"/>
    <s v="USA"/>
    <x v="4"/>
    <x v="2"/>
    <d v="2014-12-08T00:00:00"/>
    <s v="Shipping Company C"/>
    <s v="Francisco Pérez-Olaeta"/>
    <s v="123 6th Street"/>
    <s v="Milwaukee"/>
    <s v="WI"/>
    <n v="99999"/>
    <s v="USA"/>
    <s v="Check"/>
    <s v="Dried Apples"/>
    <s v="Dried Fruit &amp; Nuts"/>
    <n v="53"/>
    <n v="34"/>
    <n v="1802"/>
    <n v="185.60600000000002"/>
  </r>
  <r>
    <x v="367"/>
    <x v="135"/>
    <n v="4"/>
    <s v="Company D"/>
    <s v="123 4th Street"/>
    <s v="New York"/>
    <s v="NY"/>
    <n v="99999"/>
    <s v="USA"/>
    <x v="1"/>
    <x v="1"/>
    <m/>
    <m/>
    <s v="Christina Lee"/>
    <s v="123 4th Street"/>
    <s v="New York"/>
    <s v="NY"/>
    <n v="99999"/>
    <s v="USA"/>
    <m/>
    <s v="Gnocchi"/>
    <s v="Pasta"/>
    <n v="38"/>
    <n v="59"/>
    <n v="2242"/>
    <n v="226.44200000000001"/>
  </r>
  <r>
    <x v="368"/>
    <x v="139"/>
    <n v="3"/>
    <s v="Company C"/>
    <s v="123 3rd Street"/>
    <s v="Los Angelas"/>
    <s v="CA"/>
    <n v="99999"/>
    <s v="USA"/>
    <x v="0"/>
    <x v="0"/>
    <m/>
    <m/>
    <s v="Thomas Axerr"/>
    <s v="123 3rd Street"/>
    <s v="Los Angelas"/>
    <s v="CA"/>
    <n v="99999"/>
    <s v="USA"/>
    <m/>
    <s v="Green Tea"/>
    <s v="Beverages"/>
    <n v="2.99"/>
    <n v="24"/>
    <n v="71.760000000000005"/>
    <n v="7.10424000000000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FFC5EA-3A16-4EA0-B468-C6D85D5E087F}" name="PivotTable1"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A3:C8" firstHeaderRow="0" firstDataRow="1" firstDataCol="1" rowPageCount="1" colPageCount="1"/>
  <pivotFields count="27">
    <pivotField showAll="0">
      <items count="3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t="default"/>
      </items>
    </pivotField>
    <pivotField numFmtId="169" showAll="0">
      <items count="150">
        <item x="11"/>
        <item x="5"/>
        <item x="1"/>
        <item x="6"/>
        <item x="9"/>
        <item x="3"/>
        <item x="12"/>
        <item x="8"/>
        <item x="10"/>
        <item x="2"/>
        <item x="0"/>
        <item x="7"/>
        <item x="4"/>
        <item x="19"/>
        <item x="14"/>
        <item x="24"/>
        <item x="15"/>
        <item x="13"/>
        <item x="20"/>
        <item x="17"/>
        <item x="18"/>
        <item x="21"/>
        <item x="22"/>
        <item x="16"/>
        <item x="23"/>
        <item x="32"/>
        <item x="31"/>
        <item x="26"/>
        <item x="27"/>
        <item x="25"/>
        <item x="33"/>
        <item x="34"/>
        <item x="28"/>
        <item x="29"/>
        <item x="35"/>
        <item x="30"/>
        <item x="46"/>
        <item x="40"/>
        <item x="36"/>
        <item x="41"/>
        <item x="44"/>
        <item x="38"/>
        <item x="43"/>
        <item x="45"/>
        <item x="37"/>
        <item x="42"/>
        <item x="39"/>
        <item x="55"/>
        <item x="48"/>
        <item x="59"/>
        <item x="49"/>
        <item x="53"/>
        <item x="51"/>
        <item x="56"/>
        <item x="52"/>
        <item x="54"/>
        <item x="57"/>
        <item x="58"/>
        <item x="50"/>
        <item x="47"/>
        <item x="63"/>
        <item x="72"/>
        <item x="71"/>
        <item x="66"/>
        <item x="60"/>
        <item x="67"/>
        <item x="65"/>
        <item x="61"/>
        <item x="62"/>
        <item x="68"/>
        <item x="69"/>
        <item x="64"/>
        <item x="70"/>
        <item x="73"/>
        <item x="82"/>
        <item x="81"/>
        <item x="76"/>
        <item x="77"/>
        <item x="75"/>
        <item x="83"/>
        <item x="84"/>
        <item x="78"/>
        <item x="79"/>
        <item x="74"/>
        <item x="80"/>
        <item x="90"/>
        <item x="96"/>
        <item x="92"/>
        <item x="88"/>
        <item x="86"/>
        <item x="91"/>
        <item x="87"/>
        <item x="89"/>
        <item x="93"/>
        <item x="94"/>
        <item x="85"/>
        <item x="95"/>
        <item x="99"/>
        <item x="108"/>
        <item x="107"/>
        <item x="102"/>
        <item x="103"/>
        <item x="101"/>
        <item x="97"/>
        <item x="98"/>
        <item x="104"/>
        <item x="105"/>
        <item x="100"/>
        <item x="106"/>
        <item x="115"/>
        <item x="121"/>
        <item x="120"/>
        <item x="109"/>
        <item x="113"/>
        <item x="111"/>
        <item x="116"/>
        <item x="112"/>
        <item x="114"/>
        <item x="117"/>
        <item x="118"/>
        <item x="110"/>
        <item x="119"/>
        <item x="124"/>
        <item x="133"/>
        <item x="132"/>
        <item x="127"/>
        <item x="128"/>
        <item x="126"/>
        <item x="122"/>
        <item x="123"/>
        <item x="129"/>
        <item x="130"/>
        <item x="125"/>
        <item x="131"/>
        <item x="145"/>
        <item x="139"/>
        <item x="135"/>
        <item x="140"/>
        <item x="143"/>
        <item x="137"/>
        <item x="146"/>
        <item x="142"/>
        <item x="144"/>
        <item x="136"/>
        <item x="147"/>
        <item x="148"/>
        <item x="134"/>
        <item x="141"/>
        <item x="138"/>
        <item t="default"/>
      </items>
    </pivotField>
    <pivotField showAll="0"/>
    <pivotField showAll="0"/>
    <pivotField showAll="0"/>
    <pivotField showAll="0"/>
    <pivotField showAll="0"/>
    <pivotField showAll="0"/>
    <pivotField showAll="0"/>
    <pivotField axis="axisRow" showAll="0" sortType="descending">
      <items count="13">
        <item h="1" x="1"/>
        <item h="1" x="5"/>
        <item h="1" x="3"/>
        <item h="1" x="6"/>
        <item h="1" x="0"/>
        <item h="1" x="4"/>
        <item h="1" x="2"/>
        <item h="1" x="7"/>
        <item f="1" x="8"/>
        <item f="1" x="9"/>
        <item f="1" x="10"/>
        <item f="1" x="11"/>
        <item t="default"/>
      </items>
      <autoSortScope>
        <pivotArea dataOnly="0" outline="0" fieldPosition="0">
          <references count="1">
            <reference field="4294967294" count="1" selected="0">
              <x v="0"/>
            </reference>
          </references>
        </pivotArea>
      </autoSortScope>
    </pivotField>
    <pivotField axis="axisPage"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5" showAll="0"/>
    <pivotField numFmtId="165" showAll="0"/>
    <pivotField dataField="1" dragToRow="0" dragToCol="0" dragToPage="0" showAll="0" defaultSubtotal="0"/>
  </pivotFields>
  <rowFields count="1">
    <field x="9"/>
  </rowFields>
  <rowItems count="5">
    <i>
      <x v="11"/>
    </i>
    <i>
      <x v="8"/>
    </i>
    <i>
      <x v="9"/>
    </i>
    <i>
      <x v="10"/>
    </i>
    <i t="grand">
      <x/>
    </i>
  </rowItems>
  <colFields count="1">
    <field x="-2"/>
  </colFields>
  <colItems count="2">
    <i>
      <x/>
    </i>
    <i i="1">
      <x v="1"/>
    </i>
  </colItems>
  <pageFields count="1">
    <pageField fld="10" hier="-1"/>
  </pageFields>
  <dataFields count="2">
    <dataField name="% of Total" fld="24" showDataAs="percentOfTotal" baseField="9" baseItem="11" numFmtId="10"/>
    <dataField name="Sum of Bonus" fld="26"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6AC7BC7-A9AA-4932-983A-0EADBF5CACCE}" name="PivotTable2"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6" firstHeaderRow="1" firstDataRow="1" firstDataCol="1"/>
  <pivotFields count="27">
    <pivotField showAll="0"/>
    <pivotField numFmtId="169" showAll="0"/>
    <pivotField showAll="0"/>
    <pivotField showAll="0"/>
    <pivotField showAll="0"/>
    <pivotField showAll="0"/>
    <pivotField showAll="0"/>
    <pivotField showAll="0"/>
    <pivotField showAll="0"/>
    <pivotField axis="axisRow" showAll="0">
      <items count="13">
        <item x="1"/>
        <item x="5"/>
        <item x="3"/>
        <item x="6"/>
        <item x="0"/>
        <item x="4"/>
        <item x="2"/>
        <item x="7"/>
        <item f="1" x="11"/>
        <item f="1" x="8"/>
        <item f="1" x="9"/>
        <item f="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5" showAll="0"/>
    <pivotField numFmtId="165" showAll="0"/>
    <pivotField dragToRow="0" dragToCol="0" dragToPage="0" showAll="0" defaultSubtotal="0"/>
  </pivotFields>
  <rowFields count="1">
    <field x="9"/>
  </rowFields>
  <rowItems count="13">
    <i>
      <x/>
    </i>
    <i>
      <x v="1"/>
    </i>
    <i>
      <x v="2"/>
    </i>
    <i>
      <x v="3"/>
    </i>
    <i>
      <x v="4"/>
    </i>
    <i>
      <x v="5"/>
    </i>
    <i>
      <x v="6"/>
    </i>
    <i>
      <x v="7"/>
    </i>
    <i>
      <x v="8"/>
    </i>
    <i>
      <x v="9"/>
    </i>
    <i>
      <x v="10"/>
    </i>
    <i>
      <x v="11"/>
    </i>
    <i t="grand">
      <x/>
    </i>
  </rowItems>
  <colItems count="1">
    <i/>
  </colItems>
  <dataFields count="1">
    <dataField name="Sum of Revenue" fld="2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7D94B51-06E7-4EC5-A2A5-C2F9A11180BC}" sourceName="Region">
  <pivotTables>
    <pivotTable tabId="22" name="PivotTable1"/>
  </pivotTables>
  <data>
    <tabular pivotCacheId="61470617">
      <items count="4">
        <i x="1" s="1"/>
        <i x="2"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C6FF5DB-E5FA-4DE2-B645-E9395B039944}" cache="Slicer_Region" caption="Reg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5CD5CA-F9F2-4328-A3BC-3B02D8CF6892}" name="Table14Sales" displayName="Table14Sales" ref="A3:Z372" totalsRowShown="0" headerRowDxfId="17">
  <autoFilter ref="A3:Z372" xr:uid="{00000000-0009-0000-0000-000010000000}"/>
  <tableColumns count="26">
    <tableColumn id="1" xr3:uid="{4F29BA12-D05E-40C4-9631-5A25A7DC7753}" name="Order ID"/>
    <tableColumn id="2" xr3:uid="{92ED842F-FE30-4A8B-86D9-92DF3A87C53F}" name="Order Date" dataDxfId="16"/>
    <tableColumn id="3" xr3:uid="{B846FB54-4010-4912-AE93-82640FA8A431}" name="Customer ID"/>
    <tableColumn id="4" xr3:uid="{84E9174D-0BFD-4337-9070-767E9370AD5B}" name="Customer Name"/>
    <tableColumn id="5" xr3:uid="{997356CA-F6A0-4889-A96D-D6952BFEE728}" name="Address"/>
    <tableColumn id="6" xr3:uid="{4580AECF-1371-4654-AE36-BF7D5E2C10F7}" name="City"/>
    <tableColumn id="7" xr3:uid="{D948753D-E6C8-4103-AC04-7509B53F03EE}" name="State"/>
    <tableColumn id="8" xr3:uid="{78D67760-507D-4E9D-B3A2-2EBB172CE1CA}" name="ZIP/Postal Code"/>
    <tableColumn id="9" xr3:uid="{8D29699A-B544-4547-AAD1-E0A9CDF3AEBB}" name="Country/Region"/>
    <tableColumn id="10" xr3:uid="{F1120F1C-BB04-4639-B950-E48A1C65D21D}" name="Salesperson"/>
    <tableColumn id="11" xr3:uid="{6A2CDD5E-DD58-4025-9B33-B9C57DA5BE81}" name="Region"/>
    <tableColumn id="12" xr3:uid="{43A850CF-8370-45AF-B065-236230FAF120}" name="Shipped Date" dataDxfId="15"/>
    <tableColumn id="13" xr3:uid="{0C09C9E5-A5FB-46F3-AE80-E8C231EAA6D4}" name="Shipper Name"/>
    <tableColumn id="14" xr3:uid="{34154138-D001-4DD2-B7F9-37EE1BE994D8}" name="Ship Name"/>
    <tableColumn id="15" xr3:uid="{9D8D3B44-40A8-4CA9-AFB5-96DE6B065AA7}" name="Ship Address"/>
    <tableColumn id="16" xr3:uid="{7F4DD89A-B0FD-4784-8FFA-3079308FC9BF}" name="Ship City"/>
    <tableColumn id="17" xr3:uid="{000E617F-B203-4B98-8593-6AAA9AD11140}" name="Ship State"/>
    <tableColumn id="18" xr3:uid="{9243EB1F-5A0B-47F4-880A-6224B2888561}" name="Ship ZIP/Postal Code"/>
    <tableColumn id="19" xr3:uid="{9FD3FE36-AAC1-4448-B32C-4F0E2904C01F}" name="Ship Country/Region"/>
    <tableColumn id="20" xr3:uid="{4F50D38B-CD40-4F49-A338-084507F15D4C}" name="Payment Type"/>
    <tableColumn id="21" xr3:uid="{E3BE4B90-31E8-46A7-8674-378EC5930EFE}" name="Product Name"/>
    <tableColumn id="22" xr3:uid="{8EF9B2F0-A2BC-4213-80BD-7E865B723D21}" name="Category"/>
    <tableColumn id="23" xr3:uid="{4B46BC94-DE41-4508-9A3C-B8750BC3EACF}" name="Unit Price"/>
    <tableColumn id="24" xr3:uid="{8C2D9554-A521-4674-9D9D-84B5FC82DBD6}" name="Quantity"/>
    <tableColumn id="25" xr3:uid="{41631472-8555-4640-ADB9-7D28BB98D150}" name="Revenue" dataDxfId="14" dataCellStyle="Currency"/>
    <tableColumn id="26" xr3:uid="{743EFF25-19E3-4FB5-AB67-70A3C0D62B0F}" name="Shipping Fee" dataDxf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3DA858E-3443-4BC2-A2E6-6FB4AC7C2E56}" name="Table1" displayName="Table1" ref="A1:G31" totalsRowShown="0" headerRowDxfId="8" dataDxfId="7">
  <sortState xmlns:xlrd2="http://schemas.microsoft.com/office/spreadsheetml/2017/richdata2" ref="A2:H31">
    <sortCondition ref="A2"/>
  </sortState>
  <tableColumns count="7">
    <tableColumn id="1" xr3:uid="{66D4BEBC-D459-4700-91D3-609CCDB70C44}" name="Salesperson" dataDxfId="6"/>
    <tableColumn id="4" xr3:uid="{14EE95D9-94DF-4928-8D66-E667429A7B27}" name="May" dataDxfId="5"/>
    <tableColumn id="5" xr3:uid="{7F50D3FE-D7F8-4C62-A0A5-E35349B5FFB1}" name="June" dataDxfId="4"/>
    <tableColumn id="3" xr3:uid="{39AC81D5-3820-4814-9D5C-5F02FCE5CEFA}" name="July" dataDxfId="3"/>
    <tableColumn id="6" xr3:uid="{78FA19A3-DFD2-47AA-978F-3CFD43435C18}" name="Aug." dataDxfId="2"/>
    <tableColumn id="7" xr3:uid="{2DA5103E-AFF4-410C-AADA-186C8AD41913}" name="Sept." dataDxfId="1"/>
    <tableColumn id="8" xr3:uid="{BD4E7216-0D49-4D21-BCEC-0EACDA5FAD2C}" name="Oc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EA570-0CEB-4B8C-A1B8-1C5B4151CBA9}">
  <sheetPr codeName="Sheet1"/>
  <dimension ref="A1:N46"/>
  <sheetViews>
    <sheetView zoomScale="210" zoomScaleNormal="210" workbookViewId="0">
      <selection activeCell="C6" sqref="C6"/>
    </sheetView>
  </sheetViews>
  <sheetFormatPr defaultColWidth="9.140625" defaultRowHeight="15" x14ac:dyDescent="0.25"/>
  <cols>
    <col min="1" max="1" width="9.140625" style="1"/>
    <col min="2" max="2" width="9.42578125" style="1" customWidth="1"/>
    <col min="3" max="3" width="13.42578125" style="1" customWidth="1"/>
    <col min="4" max="4" width="14.85546875" style="1" customWidth="1"/>
    <col min="5" max="5" width="9.140625" style="1"/>
    <col min="6" max="6" width="11.42578125" style="1" customWidth="1"/>
    <col min="7" max="7" width="10.42578125" style="1" bestFit="1" customWidth="1"/>
    <col min="8" max="8" width="11.140625" style="1" customWidth="1"/>
    <col min="9" max="9" width="10.140625" style="1" bestFit="1" customWidth="1"/>
    <col min="10" max="10" width="9.42578125" style="1" bestFit="1" customWidth="1"/>
    <col min="11" max="12" width="9.140625" style="1"/>
    <col min="13" max="13" width="9.140625" style="1" hidden="1" customWidth="1"/>
    <col min="14" max="16384" width="9.140625" style="1"/>
  </cols>
  <sheetData>
    <row r="1" spans="1:13" ht="15" customHeight="1" x14ac:dyDescent="0.25">
      <c r="A1" s="139" t="s">
        <v>0</v>
      </c>
      <c r="B1" s="139"/>
      <c r="C1" s="139"/>
      <c r="D1" s="139"/>
      <c r="E1" s="139"/>
      <c r="F1" s="139"/>
      <c r="M1" s="2" t="s">
        <v>1</v>
      </c>
    </row>
    <row r="2" spans="1:13" ht="15.6" customHeight="1" x14ac:dyDescent="0.25">
      <c r="A2" s="139"/>
      <c r="B2" s="139"/>
      <c r="C2" s="139"/>
      <c r="D2" s="139"/>
      <c r="E2" s="139"/>
      <c r="F2" s="139"/>
    </row>
    <row r="3" spans="1:13" x14ac:dyDescent="0.25">
      <c r="A3" s="3" t="s">
        <v>2</v>
      </c>
      <c r="B3" s="3" t="s">
        <v>3</v>
      </c>
      <c r="C3" s="3" t="s">
        <v>4</v>
      </c>
      <c r="D3" s="3" t="s">
        <v>5</v>
      </c>
      <c r="E3" s="3" t="s">
        <v>6</v>
      </c>
      <c r="F3" s="3" t="s">
        <v>7</v>
      </c>
    </row>
    <row r="4" spans="1:13" ht="30" x14ac:dyDescent="0.25">
      <c r="A4" s="4" t="s">
        <v>8</v>
      </c>
      <c r="B4" s="4">
        <v>1054</v>
      </c>
      <c r="C4" s="4" t="str">
        <f>IFERROR(VLOOKUP(B4,$B$10:$J$46,2,FALSE),"Not in List")</f>
        <v>Smith</v>
      </c>
      <c r="D4" s="4" t="str">
        <f>_xlfn.XLOOKUP(B4,$B$10:$B$46,$D$10:$D$46,"Not in List")</f>
        <v>Howard</v>
      </c>
      <c r="E4" s="4"/>
      <c r="F4" s="4"/>
    </row>
    <row r="5" spans="1:13" ht="30" x14ac:dyDescent="0.25">
      <c r="A5" s="4" t="s">
        <v>9</v>
      </c>
      <c r="B5" s="4">
        <v>1056</v>
      </c>
      <c r="C5" s="4" t="str">
        <f>INDEX($C$10:$C$46,MATCH(B5,$B$10:$B$46,0))</f>
        <v>Gonzales</v>
      </c>
      <c r="D5" s="4"/>
      <c r="E5" s="4"/>
      <c r="F5" s="4"/>
    </row>
    <row r="7" spans="1:13" ht="15.75" customHeight="1" x14ac:dyDescent="0.25">
      <c r="B7" s="139" t="s">
        <v>10</v>
      </c>
      <c r="C7" s="139"/>
      <c r="D7" s="139"/>
      <c r="E7" s="139"/>
      <c r="F7" s="139"/>
      <c r="G7" s="139"/>
      <c r="H7" s="139"/>
      <c r="I7" s="139"/>
      <c r="J7" s="139"/>
      <c r="K7" s="1" t="s">
        <v>11</v>
      </c>
    </row>
    <row r="8" spans="1:13" ht="16.5" customHeight="1" thickBot="1" x14ac:dyDescent="0.3">
      <c r="B8" s="140"/>
      <c r="C8" s="140"/>
      <c r="D8" s="140"/>
      <c r="E8" s="140"/>
      <c r="F8" s="140"/>
      <c r="G8" s="140"/>
      <c r="H8" s="140"/>
      <c r="I8" s="140"/>
      <c r="J8" s="140"/>
    </row>
    <row r="9" spans="1:13" ht="15.75" thickTop="1" x14ac:dyDescent="0.25">
      <c r="B9" s="3" t="s">
        <v>3</v>
      </c>
      <c r="C9" s="3" t="s">
        <v>4</v>
      </c>
      <c r="D9" s="3" t="s">
        <v>5</v>
      </c>
      <c r="E9" s="3" t="s">
        <v>6</v>
      </c>
      <c r="F9" s="3" t="s">
        <v>12</v>
      </c>
      <c r="G9" s="3" t="s">
        <v>13</v>
      </c>
      <c r="H9" s="3" t="s">
        <v>14</v>
      </c>
      <c r="I9" s="3" t="s">
        <v>15</v>
      </c>
      <c r="J9" s="3" t="s">
        <v>7</v>
      </c>
    </row>
    <row r="10" spans="1:13" x14ac:dyDescent="0.25">
      <c r="B10" s="5">
        <v>1054</v>
      </c>
      <c r="C10" s="5" t="s">
        <v>16</v>
      </c>
      <c r="D10" s="5" t="s">
        <v>17</v>
      </c>
      <c r="E10" s="5" t="s">
        <v>18</v>
      </c>
      <c r="F10" s="5" t="s">
        <v>19</v>
      </c>
      <c r="G10" s="5">
        <v>148</v>
      </c>
      <c r="H10" s="5" t="s">
        <v>20</v>
      </c>
      <c r="I10" s="6">
        <v>38092.25</v>
      </c>
      <c r="J10" s="7">
        <v>11.25</v>
      </c>
    </row>
    <row r="11" spans="1:13" x14ac:dyDescent="0.25">
      <c r="B11" s="5">
        <v>1056</v>
      </c>
      <c r="C11" s="5" t="s">
        <v>21</v>
      </c>
      <c r="D11" s="5" t="s">
        <v>22</v>
      </c>
      <c r="E11" s="5" t="s">
        <v>18</v>
      </c>
      <c r="F11" s="5" t="s">
        <v>23</v>
      </c>
      <c r="G11" s="5">
        <v>121</v>
      </c>
      <c r="H11" s="5" t="s">
        <v>20</v>
      </c>
      <c r="I11" s="6">
        <v>33901.25</v>
      </c>
      <c r="J11" s="7">
        <v>12.25</v>
      </c>
    </row>
    <row r="12" spans="1:13" x14ac:dyDescent="0.25">
      <c r="B12" s="5">
        <v>1067</v>
      </c>
      <c r="C12" s="5" t="s">
        <v>24</v>
      </c>
      <c r="D12" s="5" t="s">
        <v>25</v>
      </c>
      <c r="E12" s="5" t="s">
        <v>18</v>
      </c>
      <c r="F12" s="5" t="s">
        <v>26</v>
      </c>
      <c r="G12" s="5">
        <v>123</v>
      </c>
      <c r="H12" s="5" t="s">
        <v>20</v>
      </c>
      <c r="I12" s="6">
        <v>36788.25</v>
      </c>
      <c r="J12" s="7">
        <v>14.55</v>
      </c>
    </row>
    <row r="13" spans="1:13" x14ac:dyDescent="0.25">
      <c r="B13" s="5">
        <v>1075</v>
      </c>
      <c r="C13" s="5" t="s">
        <v>27</v>
      </c>
      <c r="D13" s="5" t="s">
        <v>28</v>
      </c>
      <c r="E13" s="5" t="s">
        <v>29</v>
      </c>
      <c r="F13" s="5" t="s">
        <v>30</v>
      </c>
      <c r="G13" s="5">
        <v>126</v>
      </c>
      <c r="H13" s="5" t="s">
        <v>31</v>
      </c>
      <c r="I13" s="6">
        <v>38571.25</v>
      </c>
      <c r="J13" s="7">
        <v>11.25</v>
      </c>
    </row>
    <row r="14" spans="1:13" x14ac:dyDescent="0.25">
      <c r="B14" s="5">
        <v>1078</v>
      </c>
      <c r="C14" s="5" t="s">
        <v>32</v>
      </c>
      <c r="D14" s="5" t="s">
        <v>33</v>
      </c>
      <c r="E14" s="5" t="s">
        <v>34</v>
      </c>
      <c r="F14" s="5" t="s">
        <v>35</v>
      </c>
      <c r="G14" s="5">
        <v>101</v>
      </c>
      <c r="H14" s="5" t="s">
        <v>31</v>
      </c>
      <c r="I14" s="6">
        <v>36251.25</v>
      </c>
      <c r="J14" s="7">
        <v>10.199999999999999</v>
      </c>
    </row>
    <row r="15" spans="1:13" x14ac:dyDescent="0.25">
      <c r="B15" s="5">
        <v>1152</v>
      </c>
      <c r="C15" s="5" t="s">
        <v>36</v>
      </c>
      <c r="D15" s="5" t="s">
        <v>37</v>
      </c>
      <c r="E15" s="5" t="s">
        <v>29</v>
      </c>
      <c r="F15" s="5" t="s">
        <v>38</v>
      </c>
      <c r="G15" s="5">
        <v>118</v>
      </c>
      <c r="H15" s="5" t="s">
        <v>31</v>
      </c>
      <c r="I15" s="6">
        <v>37642.25</v>
      </c>
      <c r="J15" s="7">
        <v>12.25</v>
      </c>
    </row>
    <row r="16" spans="1:13" x14ac:dyDescent="0.25">
      <c r="B16" s="5">
        <v>1196</v>
      </c>
      <c r="C16" s="5" t="s">
        <v>39</v>
      </c>
      <c r="D16" s="5" t="s">
        <v>40</v>
      </c>
      <c r="E16" s="5" t="s">
        <v>41</v>
      </c>
      <c r="F16" s="5" t="s">
        <v>42</v>
      </c>
      <c r="G16" s="5">
        <v>289</v>
      </c>
      <c r="H16" s="5" t="s">
        <v>43</v>
      </c>
      <c r="I16" s="6">
        <v>40634.25</v>
      </c>
      <c r="J16" s="7">
        <v>9.9499999999999993</v>
      </c>
    </row>
    <row r="17" spans="2:10" x14ac:dyDescent="0.25">
      <c r="B17" s="5">
        <v>1284</v>
      </c>
      <c r="C17" s="5" t="s">
        <v>44</v>
      </c>
      <c r="D17" s="5" t="s">
        <v>45</v>
      </c>
      <c r="E17" s="5" t="s">
        <v>46</v>
      </c>
      <c r="F17" s="5" t="s">
        <v>47</v>
      </c>
      <c r="G17" s="5">
        <v>124</v>
      </c>
      <c r="H17" s="5" t="s">
        <v>20</v>
      </c>
      <c r="I17" s="6">
        <v>35799.25</v>
      </c>
      <c r="J17" s="7">
        <v>12.3</v>
      </c>
    </row>
    <row r="18" spans="2:10" x14ac:dyDescent="0.25">
      <c r="B18" s="5">
        <v>1290</v>
      </c>
      <c r="C18" s="5" t="s">
        <v>48</v>
      </c>
      <c r="D18" s="5" t="s">
        <v>49</v>
      </c>
      <c r="E18" s="5" t="s">
        <v>29</v>
      </c>
      <c r="F18" s="5" t="s">
        <v>50</v>
      </c>
      <c r="G18" s="5">
        <v>113</v>
      </c>
      <c r="H18" s="5" t="s">
        <v>31</v>
      </c>
      <c r="I18" s="6">
        <v>35798.25</v>
      </c>
      <c r="J18" s="7">
        <v>13.25</v>
      </c>
    </row>
    <row r="19" spans="2:10" x14ac:dyDescent="0.25">
      <c r="B19" s="5">
        <v>1293</v>
      </c>
      <c r="C19" s="5" t="s">
        <v>51</v>
      </c>
      <c r="D19" s="5" t="s">
        <v>52</v>
      </c>
      <c r="E19" s="5" t="s">
        <v>41</v>
      </c>
      <c r="F19" s="5" t="s">
        <v>53</v>
      </c>
      <c r="G19" s="5">
        <v>205</v>
      </c>
      <c r="H19" s="5" t="s">
        <v>43</v>
      </c>
      <c r="I19" s="6">
        <v>35687.25</v>
      </c>
      <c r="J19" s="7">
        <v>10.199999999999999</v>
      </c>
    </row>
    <row r="20" spans="2:10" x14ac:dyDescent="0.25">
      <c r="B20" s="5">
        <v>1299</v>
      </c>
      <c r="C20" s="5" t="s">
        <v>54</v>
      </c>
      <c r="D20" s="5" t="s">
        <v>55</v>
      </c>
      <c r="E20" s="5" t="s">
        <v>56</v>
      </c>
      <c r="F20" s="5" t="s">
        <v>57</v>
      </c>
      <c r="G20" s="5">
        <v>127</v>
      </c>
      <c r="H20" s="5" t="s">
        <v>20</v>
      </c>
      <c r="I20" s="6">
        <v>37611.25</v>
      </c>
      <c r="J20" s="7">
        <v>12.2</v>
      </c>
    </row>
    <row r="21" spans="2:10" x14ac:dyDescent="0.25">
      <c r="B21" s="5">
        <v>1302</v>
      </c>
      <c r="C21" s="5" t="s">
        <v>16</v>
      </c>
      <c r="D21" s="5" t="s">
        <v>58</v>
      </c>
      <c r="E21" s="5" t="s">
        <v>46</v>
      </c>
      <c r="F21" s="5" t="s">
        <v>59</v>
      </c>
      <c r="G21" s="5">
        <v>139</v>
      </c>
      <c r="H21" s="5" t="s">
        <v>20</v>
      </c>
      <c r="I21" s="6">
        <v>35648.25</v>
      </c>
      <c r="J21" s="7">
        <v>14.25</v>
      </c>
    </row>
    <row r="22" spans="2:10" x14ac:dyDescent="0.25">
      <c r="B22" s="5">
        <v>1310</v>
      </c>
      <c r="C22" s="5" t="s">
        <v>16</v>
      </c>
      <c r="D22" s="5" t="s">
        <v>60</v>
      </c>
      <c r="E22" s="5" t="s">
        <v>56</v>
      </c>
      <c r="F22" s="5" t="s">
        <v>61</v>
      </c>
      <c r="G22" s="5">
        <v>137</v>
      </c>
      <c r="H22" s="5" t="s">
        <v>20</v>
      </c>
      <c r="I22" s="6">
        <v>36437.25</v>
      </c>
      <c r="J22" s="7">
        <v>11.5</v>
      </c>
    </row>
    <row r="23" spans="2:10" x14ac:dyDescent="0.25">
      <c r="B23" s="5">
        <v>1329</v>
      </c>
      <c r="C23" s="5" t="s">
        <v>62</v>
      </c>
      <c r="D23" s="5" t="s">
        <v>63</v>
      </c>
      <c r="E23" s="5" t="s">
        <v>34</v>
      </c>
      <c r="F23" s="5" t="s">
        <v>64</v>
      </c>
      <c r="G23" s="5">
        <v>151</v>
      </c>
      <c r="H23" s="5" t="s">
        <v>31</v>
      </c>
      <c r="I23" s="6">
        <v>37309.25</v>
      </c>
      <c r="J23" s="7">
        <v>10.35</v>
      </c>
    </row>
    <row r="24" spans="2:10" x14ac:dyDescent="0.25">
      <c r="B24" s="5">
        <v>1333</v>
      </c>
      <c r="C24" s="5" t="s">
        <v>65</v>
      </c>
      <c r="D24" s="5" t="s">
        <v>66</v>
      </c>
      <c r="E24" s="5" t="s">
        <v>41</v>
      </c>
      <c r="F24" s="5" t="s">
        <v>67</v>
      </c>
      <c r="G24" s="5">
        <v>122</v>
      </c>
      <c r="H24" s="5" t="s">
        <v>43</v>
      </c>
      <c r="I24" s="6">
        <v>37727.25</v>
      </c>
      <c r="J24" s="7">
        <v>10.15</v>
      </c>
    </row>
    <row r="25" spans="2:10" x14ac:dyDescent="0.25">
      <c r="B25" s="5">
        <v>1368</v>
      </c>
      <c r="C25" s="5" t="s">
        <v>68</v>
      </c>
      <c r="D25" s="5" t="s">
        <v>69</v>
      </c>
      <c r="E25" s="5" t="s">
        <v>29</v>
      </c>
      <c r="F25" s="5" t="s">
        <v>70</v>
      </c>
      <c r="G25" s="5">
        <v>132</v>
      </c>
      <c r="H25" s="5" t="s">
        <v>31</v>
      </c>
      <c r="I25" s="6">
        <v>35134.25</v>
      </c>
      <c r="J25" s="7">
        <v>12.25</v>
      </c>
    </row>
    <row r="26" spans="2:10" x14ac:dyDescent="0.25">
      <c r="B26" s="5">
        <v>1509</v>
      </c>
      <c r="C26" s="5" t="s">
        <v>71</v>
      </c>
      <c r="D26" s="5" t="s">
        <v>72</v>
      </c>
      <c r="E26" s="5" t="s">
        <v>18</v>
      </c>
      <c r="F26" s="5" t="s">
        <v>73</v>
      </c>
      <c r="G26" s="5">
        <v>135</v>
      </c>
      <c r="H26" s="5" t="s">
        <v>20</v>
      </c>
      <c r="I26" s="6">
        <v>35965.25</v>
      </c>
      <c r="J26" s="7">
        <v>13.25</v>
      </c>
    </row>
    <row r="27" spans="2:10" x14ac:dyDescent="0.25">
      <c r="B27" s="5">
        <v>1516</v>
      </c>
      <c r="C27" s="5" t="s">
        <v>16</v>
      </c>
      <c r="D27" s="5" t="s">
        <v>74</v>
      </c>
      <c r="E27" s="5" t="s">
        <v>34</v>
      </c>
      <c r="F27" s="5" t="s">
        <v>75</v>
      </c>
      <c r="G27" s="5">
        <v>105</v>
      </c>
      <c r="H27" s="5" t="s">
        <v>31</v>
      </c>
      <c r="I27" s="6">
        <v>35860.25</v>
      </c>
      <c r="J27" s="7">
        <v>9.5</v>
      </c>
    </row>
    <row r="28" spans="2:10" x14ac:dyDescent="0.25">
      <c r="B28" s="5">
        <v>1529</v>
      </c>
      <c r="C28" s="5" t="s">
        <v>76</v>
      </c>
      <c r="D28" s="5" t="s">
        <v>77</v>
      </c>
      <c r="E28" s="5" t="s">
        <v>46</v>
      </c>
      <c r="F28" s="5" t="s">
        <v>78</v>
      </c>
      <c r="G28" s="5">
        <v>129</v>
      </c>
      <c r="H28" s="5" t="s">
        <v>20</v>
      </c>
      <c r="I28" s="6">
        <v>36553.25</v>
      </c>
      <c r="J28" s="7">
        <v>11.3</v>
      </c>
    </row>
    <row r="29" spans="2:10" x14ac:dyDescent="0.25">
      <c r="B29" s="5">
        <v>1656</v>
      </c>
      <c r="C29" s="5" t="s">
        <v>79</v>
      </c>
      <c r="D29" s="5" t="s">
        <v>80</v>
      </c>
      <c r="E29" s="5" t="s">
        <v>56</v>
      </c>
      <c r="F29" s="5" t="s">
        <v>81</v>
      </c>
      <c r="G29" s="5">
        <v>149</v>
      </c>
      <c r="H29" s="5" t="s">
        <v>20</v>
      </c>
      <c r="I29" s="6">
        <v>36873.25</v>
      </c>
      <c r="J29" s="7">
        <v>12.35</v>
      </c>
    </row>
    <row r="30" spans="2:10" x14ac:dyDescent="0.25">
      <c r="B30" s="5">
        <v>1672</v>
      </c>
      <c r="C30" s="5" t="s">
        <v>82</v>
      </c>
      <c r="D30" s="5" t="s">
        <v>83</v>
      </c>
      <c r="E30" s="5" t="s">
        <v>56</v>
      </c>
      <c r="F30" s="5" t="s">
        <v>84</v>
      </c>
      <c r="G30" s="5">
        <v>114</v>
      </c>
      <c r="H30" s="5" t="s">
        <v>20</v>
      </c>
      <c r="I30" s="6">
        <v>37727.25</v>
      </c>
      <c r="J30" s="7">
        <v>11.9</v>
      </c>
    </row>
    <row r="31" spans="2:10" x14ac:dyDescent="0.25">
      <c r="B31" s="5">
        <v>1673</v>
      </c>
      <c r="C31" s="5" t="s">
        <v>85</v>
      </c>
      <c r="D31" s="5" t="s">
        <v>45</v>
      </c>
      <c r="E31" s="5" t="s">
        <v>29</v>
      </c>
      <c r="F31" s="5" t="s">
        <v>86</v>
      </c>
      <c r="G31" s="5">
        <v>112</v>
      </c>
      <c r="H31" s="5" t="s">
        <v>31</v>
      </c>
      <c r="I31" s="6">
        <v>38436.25</v>
      </c>
      <c r="J31" s="7">
        <v>11.85</v>
      </c>
    </row>
    <row r="32" spans="2:10" x14ac:dyDescent="0.25">
      <c r="B32" s="5">
        <v>1676</v>
      </c>
      <c r="C32" s="5" t="s">
        <v>71</v>
      </c>
      <c r="D32" s="5" t="s">
        <v>87</v>
      </c>
      <c r="E32" s="5" t="s">
        <v>46</v>
      </c>
      <c r="F32" s="5" t="s">
        <v>88</v>
      </c>
      <c r="G32" s="5">
        <v>115</v>
      </c>
      <c r="H32" s="5" t="s">
        <v>20</v>
      </c>
      <c r="I32" s="6">
        <v>34633.25</v>
      </c>
      <c r="J32" s="7">
        <v>10.75</v>
      </c>
    </row>
    <row r="33" spans="2:14" x14ac:dyDescent="0.25">
      <c r="B33" s="5">
        <v>1721</v>
      </c>
      <c r="C33" s="5" t="s">
        <v>89</v>
      </c>
      <c r="D33" s="5" t="s">
        <v>90</v>
      </c>
      <c r="E33" s="5" t="s">
        <v>41</v>
      </c>
      <c r="F33" s="5" t="s">
        <v>91</v>
      </c>
      <c r="G33" s="5">
        <v>102</v>
      </c>
      <c r="H33" s="5" t="s">
        <v>43</v>
      </c>
      <c r="I33" s="6">
        <v>37839.25</v>
      </c>
      <c r="J33" s="7">
        <v>9.75</v>
      </c>
    </row>
    <row r="34" spans="2:14" x14ac:dyDescent="0.25">
      <c r="B34" s="5">
        <v>1723</v>
      </c>
      <c r="C34" s="5" t="s">
        <v>92</v>
      </c>
      <c r="D34" s="5" t="s">
        <v>37</v>
      </c>
      <c r="E34" s="5" t="s">
        <v>46</v>
      </c>
      <c r="F34" s="5" t="s">
        <v>93</v>
      </c>
      <c r="G34" s="5">
        <v>145</v>
      </c>
      <c r="H34" s="5" t="s">
        <v>20</v>
      </c>
      <c r="I34" s="6">
        <v>33279.25</v>
      </c>
      <c r="J34" s="7">
        <v>13.95</v>
      </c>
      <c r="N34" s="1" t="s">
        <v>94</v>
      </c>
    </row>
    <row r="35" spans="2:14" x14ac:dyDescent="0.25">
      <c r="B35" s="5">
        <v>1758</v>
      </c>
      <c r="C35" s="5" t="s">
        <v>95</v>
      </c>
      <c r="D35" s="5" t="s">
        <v>96</v>
      </c>
      <c r="E35" s="5" t="s">
        <v>34</v>
      </c>
      <c r="F35" s="5" t="s">
        <v>97</v>
      </c>
      <c r="G35" s="5">
        <v>107</v>
      </c>
      <c r="H35" s="5" t="s">
        <v>31</v>
      </c>
      <c r="I35" s="6">
        <v>34776.25</v>
      </c>
      <c r="J35" s="7">
        <v>11.2</v>
      </c>
    </row>
    <row r="36" spans="2:14" x14ac:dyDescent="0.25">
      <c r="B36" s="5">
        <v>1792</v>
      </c>
      <c r="C36" s="5" t="s">
        <v>98</v>
      </c>
      <c r="D36" s="5" t="s">
        <v>99</v>
      </c>
      <c r="E36" s="5" t="s">
        <v>18</v>
      </c>
      <c r="F36" s="5" t="s">
        <v>100</v>
      </c>
      <c r="G36" s="5">
        <v>111</v>
      </c>
      <c r="H36" s="5" t="s">
        <v>20</v>
      </c>
      <c r="I36" s="6">
        <v>37979.25</v>
      </c>
      <c r="J36" s="7">
        <v>10.3</v>
      </c>
    </row>
    <row r="37" spans="2:14" x14ac:dyDescent="0.25">
      <c r="B37" s="5">
        <v>1814</v>
      </c>
      <c r="C37" s="5" t="s">
        <v>101</v>
      </c>
      <c r="D37" s="5" t="s">
        <v>102</v>
      </c>
      <c r="E37" s="5" t="s">
        <v>41</v>
      </c>
      <c r="F37" s="5" t="s">
        <v>103</v>
      </c>
      <c r="G37" s="5">
        <v>103</v>
      </c>
      <c r="H37" s="5" t="s">
        <v>43</v>
      </c>
      <c r="I37" s="6">
        <v>37319.25</v>
      </c>
      <c r="J37" s="7">
        <v>12.25</v>
      </c>
    </row>
    <row r="38" spans="2:14" x14ac:dyDescent="0.25">
      <c r="B38" s="5">
        <v>1908</v>
      </c>
      <c r="C38" s="5" t="s">
        <v>104</v>
      </c>
      <c r="D38" s="5" t="s">
        <v>105</v>
      </c>
      <c r="E38" s="5" t="s">
        <v>18</v>
      </c>
      <c r="F38" s="5" t="s">
        <v>106</v>
      </c>
      <c r="G38" s="5">
        <v>152</v>
      </c>
      <c r="H38" s="5" t="s">
        <v>20</v>
      </c>
      <c r="I38" s="6">
        <v>35565.25</v>
      </c>
      <c r="J38" s="7">
        <v>10.25</v>
      </c>
    </row>
    <row r="39" spans="2:14" x14ac:dyDescent="0.25">
      <c r="B39" s="5">
        <v>1931</v>
      </c>
      <c r="C39" s="5" t="s">
        <v>71</v>
      </c>
      <c r="D39" s="5" t="s">
        <v>107</v>
      </c>
      <c r="E39" s="5" t="s">
        <v>34</v>
      </c>
      <c r="F39" s="5" t="s">
        <v>108</v>
      </c>
      <c r="G39" s="5">
        <v>110</v>
      </c>
      <c r="H39" s="5" t="s">
        <v>31</v>
      </c>
      <c r="I39" s="6">
        <v>37427.25</v>
      </c>
      <c r="J39" s="7">
        <v>9.85</v>
      </c>
    </row>
    <row r="40" spans="2:14" x14ac:dyDescent="0.25">
      <c r="B40" s="5">
        <v>1960</v>
      </c>
      <c r="C40" s="5" t="s">
        <v>109</v>
      </c>
      <c r="D40" s="5" t="s">
        <v>110</v>
      </c>
      <c r="E40" s="5" t="s">
        <v>56</v>
      </c>
      <c r="F40" s="5" t="s">
        <v>111</v>
      </c>
      <c r="G40" s="5">
        <v>150</v>
      </c>
      <c r="H40" s="5" t="s">
        <v>20</v>
      </c>
      <c r="I40" s="6">
        <v>36477.25</v>
      </c>
      <c r="J40" s="7">
        <v>11.65</v>
      </c>
    </row>
    <row r="41" spans="2:14" x14ac:dyDescent="0.25">
      <c r="B41" s="5">
        <v>1964</v>
      </c>
      <c r="C41" s="5" t="s">
        <v>112</v>
      </c>
      <c r="D41" s="5" t="s">
        <v>113</v>
      </c>
      <c r="E41" s="5" t="s">
        <v>34</v>
      </c>
      <c r="F41" s="5" t="s">
        <v>114</v>
      </c>
      <c r="G41" s="5">
        <v>108</v>
      </c>
      <c r="H41" s="5" t="s">
        <v>31</v>
      </c>
      <c r="I41" s="6">
        <v>38307.25</v>
      </c>
      <c r="J41" s="7">
        <v>9.25</v>
      </c>
    </row>
    <row r="42" spans="2:14" x14ac:dyDescent="0.25">
      <c r="B42" s="5">
        <v>1975</v>
      </c>
      <c r="C42" s="5" t="s">
        <v>16</v>
      </c>
      <c r="D42" s="5" t="s">
        <v>115</v>
      </c>
      <c r="E42" s="5" t="s">
        <v>34</v>
      </c>
      <c r="F42" s="5" t="s">
        <v>116</v>
      </c>
      <c r="G42" s="5">
        <v>125</v>
      </c>
      <c r="H42" s="5" t="s">
        <v>31</v>
      </c>
      <c r="I42" s="6">
        <v>39873.25</v>
      </c>
      <c r="J42" s="7">
        <v>9.25</v>
      </c>
    </row>
    <row r="43" spans="2:14" x14ac:dyDescent="0.25">
      <c r="B43" s="5">
        <v>1983</v>
      </c>
      <c r="C43" s="5" t="s">
        <v>112</v>
      </c>
      <c r="D43" s="5" t="s">
        <v>117</v>
      </c>
      <c r="E43" s="5" t="s">
        <v>18</v>
      </c>
      <c r="F43" s="5" t="s">
        <v>118</v>
      </c>
      <c r="G43" s="5">
        <v>154</v>
      </c>
      <c r="H43" s="5" t="s">
        <v>20</v>
      </c>
      <c r="I43" s="6">
        <v>40357.25</v>
      </c>
      <c r="J43" s="7">
        <v>11</v>
      </c>
    </row>
    <row r="44" spans="2:14" x14ac:dyDescent="0.25">
      <c r="B44" s="5">
        <v>1990</v>
      </c>
      <c r="C44" s="5" t="s">
        <v>119</v>
      </c>
      <c r="D44" s="5" t="s">
        <v>120</v>
      </c>
      <c r="E44" s="5" t="s">
        <v>56</v>
      </c>
      <c r="F44" s="5" t="s">
        <v>121</v>
      </c>
      <c r="G44" s="5">
        <v>198</v>
      </c>
      <c r="H44" s="5" t="s">
        <v>20</v>
      </c>
      <c r="I44" s="6">
        <v>40588.25</v>
      </c>
      <c r="J44" s="7">
        <v>10.95</v>
      </c>
    </row>
    <row r="45" spans="2:14" x14ac:dyDescent="0.25">
      <c r="B45" s="5">
        <v>1995</v>
      </c>
      <c r="C45" s="5" t="s">
        <v>71</v>
      </c>
      <c r="D45" s="5" t="s">
        <v>122</v>
      </c>
      <c r="E45" s="5" t="s">
        <v>18</v>
      </c>
      <c r="F45" s="5" t="s">
        <v>123</v>
      </c>
      <c r="G45" s="5">
        <v>198</v>
      </c>
      <c r="H45" s="5" t="s">
        <v>20</v>
      </c>
      <c r="I45" s="6">
        <v>40603.25</v>
      </c>
      <c r="J45" s="7">
        <v>11.75</v>
      </c>
    </row>
    <row r="46" spans="2:14" x14ac:dyDescent="0.25">
      <c r="B46" s="5">
        <v>2006</v>
      </c>
      <c r="C46" s="5" t="s">
        <v>124</v>
      </c>
      <c r="D46" s="5" t="s">
        <v>125</v>
      </c>
      <c r="E46" s="5" t="s">
        <v>41</v>
      </c>
      <c r="F46" s="5" t="s">
        <v>126</v>
      </c>
      <c r="G46" s="5">
        <v>428</v>
      </c>
      <c r="H46" s="5" t="s">
        <v>43</v>
      </c>
      <c r="I46" s="6">
        <v>40729.25</v>
      </c>
      <c r="J46" s="7">
        <v>10.15</v>
      </c>
    </row>
  </sheetData>
  <mergeCells count="2">
    <mergeCell ref="A1:F2"/>
    <mergeCell ref="B7:J8"/>
  </mergeCells>
  <pageMargins left="0.75" right="0.75" top="1" bottom="1" header="0.5" footer="0.5"/>
  <pageSetup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68D2A-969C-49E0-9925-C6093233CE4E}">
  <sheetPr codeName="Sheet2"/>
  <dimension ref="A1:G13"/>
  <sheetViews>
    <sheetView workbookViewId="0">
      <selection activeCell="B16" sqref="B16"/>
    </sheetView>
  </sheetViews>
  <sheetFormatPr defaultColWidth="9.140625" defaultRowHeight="15" x14ac:dyDescent="0.25"/>
  <cols>
    <col min="1" max="3" width="17" style="1" customWidth="1"/>
    <col min="4" max="4" width="9.140625" style="1"/>
    <col min="5" max="5" width="13.42578125" style="1" customWidth="1"/>
    <col min="6" max="6" width="14.42578125" style="1" customWidth="1"/>
    <col min="7" max="7" width="13.5703125" style="1" customWidth="1"/>
    <col min="8" max="16384" width="9.140625" style="1"/>
  </cols>
  <sheetData>
    <row r="1" spans="1:7" ht="23.25" x14ac:dyDescent="0.35">
      <c r="A1" s="141" t="s">
        <v>127</v>
      </c>
      <c r="B1" s="141"/>
      <c r="C1" s="141"/>
      <c r="D1" s="141"/>
      <c r="E1" s="141"/>
      <c r="F1" s="141"/>
      <c r="G1" s="141"/>
    </row>
    <row r="2" spans="1:7" ht="15.75" thickBot="1" x14ac:dyDescent="0.3"/>
    <row r="3" spans="1:7" ht="20.25" thickBot="1" x14ac:dyDescent="0.35">
      <c r="A3" s="8" t="s">
        <v>128</v>
      </c>
      <c r="B3" s="8" t="s">
        <v>129</v>
      </c>
      <c r="C3" s="8" t="s">
        <v>130</v>
      </c>
      <c r="E3" s="142" t="s">
        <v>131</v>
      </c>
      <c r="F3" s="143"/>
      <c r="G3" s="144"/>
    </row>
    <row r="4" spans="1:7" ht="15.75" thickBot="1" x14ac:dyDescent="0.3">
      <c r="A4" s="9" t="s">
        <v>132</v>
      </c>
      <c r="B4" s="10">
        <v>1200</v>
      </c>
      <c r="C4" s="11"/>
      <c r="E4" s="12" t="s">
        <v>129</v>
      </c>
      <c r="F4" s="13" t="s">
        <v>130</v>
      </c>
      <c r="G4" s="13" t="s">
        <v>133</v>
      </c>
    </row>
    <row r="5" spans="1:7" ht="15.75" thickBot="1" x14ac:dyDescent="0.3">
      <c r="A5" s="9" t="s">
        <v>134</v>
      </c>
      <c r="B5" s="10">
        <v>1300</v>
      </c>
      <c r="C5" s="11"/>
      <c r="E5" s="14">
        <v>0</v>
      </c>
      <c r="F5" s="14">
        <v>0</v>
      </c>
      <c r="G5" s="14">
        <v>0</v>
      </c>
    </row>
    <row r="6" spans="1:7" ht="15.75" thickBot="1" x14ac:dyDescent="0.3">
      <c r="A6" s="9" t="s">
        <v>135</v>
      </c>
      <c r="B6" s="10">
        <v>2500</v>
      </c>
      <c r="C6" s="11"/>
      <c r="E6" s="14">
        <v>1000</v>
      </c>
      <c r="F6" s="14">
        <v>10</v>
      </c>
      <c r="G6" s="14">
        <v>20</v>
      </c>
    </row>
    <row r="7" spans="1:7" ht="15.75" thickBot="1" x14ac:dyDescent="0.3">
      <c r="A7" s="9" t="s">
        <v>136</v>
      </c>
      <c r="B7" s="10">
        <v>850</v>
      </c>
      <c r="C7" s="11"/>
      <c r="E7" s="14">
        <v>1500</v>
      </c>
      <c r="F7" s="14">
        <v>30</v>
      </c>
      <c r="G7" s="14">
        <v>50</v>
      </c>
    </row>
    <row r="8" spans="1:7" ht="15.75" thickBot="1" x14ac:dyDescent="0.3">
      <c r="A8" s="9" t="s">
        <v>137</v>
      </c>
      <c r="B8" s="10">
        <v>3250</v>
      </c>
      <c r="C8" s="11"/>
      <c r="E8" s="14">
        <v>2000</v>
      </c>
      <c r="F8" s="14">
        <v>85</v>
      </c>
      <c r="G8" s="14">
        <v>100</v>
      </c>
    </row>
    <row r="9" spans="1:7" ht="15.75" thickBot="1" x14ac:dyDescent="0.3">
      <c r="A9" s="9" t="s">
        <v>138</v>
      </c>
      <c r="B9" s="10">
        <v>1100</v>
      </c>
      <c r="C9" s="11"/>
      <c r="E9" s="14">
        <v>2500</v>
      </c>
      <c r="F9" s="14">
        <v>125</v>
      </c>
      <c r="G9" s="14">
        <v>150</v>
      </c>
    </row>
    <row r="10" spans="1:7" ht="15.75" thickBot="1" x14ac:dyDescent="0.3">
      <c r="A10" s="9" t="s">
        <v>139</v>
      </c>
      <c r="B10" s="10">
        <v>4520</v>
      </c>
      <c r="C10" s="11"/>
      <c r="E10" s="14">
        <v>3000</v>
      </c>
      <c r="F10" s="14">
        <v>200</v>
      </c>
      <c r="G10" s="14">
        <v>250</v>
      </c>
    </row>
    <row r="11" spans="1:7" ht="15.75" thickBot="1" x14ac:dyDescent="0.3"/>
    <row r="12" spans="1:7" ht="17.25" thickTop="1" thickBot="1" x14ac:dyDescent="0.3">
      <c r="A12" s="145" t="s">
        <v>140</v>
      </c>
      <c r="B12" s="146"/>
      <c r="C12" s="15" t="s">
        <v>133</v>
      </c>
    </row>
    <row r="13" spans="1:7" ht="15" customHeight="1" thickTop="1" x14ac:dyDescent="0.25">
      <c r="E13" s="16"/>
    </row>
  </sheetData>
  <mergeCells count="3">
    <mergeCell ref="A1:G1"/>
    <mergeCell ref="E3:G3"/>
    <mergeCell ref="A12:B12"/>
  </mergeCells>
  <dataValidations count="1">
    <dataValidation type="list" allowBlank="1" showInputMessage="1" showErrorMessage="1" errorTitle="Invalid Entry" error="Please select either &quot;Standard&quot; or &quot;Holiday&quot; from the provided drop down menu. " sqref="C12" xr:uid="{77AA5847-FEA2-4DBB-BF8B-6C7327340186}">
      <formula1>"Standard, Holiday"</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84A86-3EF0-4D4E-A1D1-CAB39DBC7A33}">
  <sheetPr codeName="Sheet3"/>
  <dimension ref="A1:I16"/>
  <sheetViews>
    <sheetView zoomScale="160" zoomScaleNormal="160" workbookViewId="0">
      <selection activeCell="H8" sqref="H8"/>
    </sheetView>
  </sheetViews>
  <sheetFormatPr defaultColWidth="9.140625" defaultRowHeight="15" x14ac:dyDescent="0.25"/>
  <cols>
    <col min="1" max="1" width="12.140625" style="17" bestFit="1" customWidth="1"/>
    <col min="2" max="2" width="8" style="17" bestFit="1" customWidth="1"/>
    <col min="3" max="5" width="9" style="17" bestFit="1" customWidth="1"/>
    <col min="6" max="6" width="7.7109375" style="17" bestFit="1" customWidth="1"/>
    <col min="7" max="7" width="2.5703125" style="17" customWidth="1"/>
    <col min="8" max="8" width="16.28515625" style="17" bestFit="1" customWidth="1"/>
    <col min="9" max="9" width="12.28515625" style="17" bestFit="1" customWidth="1"/>
    <col min="10" max="16384" width="9.140625" style="17"/>
  </cols>
  <sheetData>
    <row r="1" spans="1:9" ht="15.75" thickBot="1" x14ac:dyDescent="0.3"/>
    <row r="2" spans="1:9" ht="24" thickBot="1" x14ac:dyDescent="0.4">
      <c r="A2" s="148" t="s">
        <v>141</v>
      </c>
      <c r="B2" s="148"/>
      <c r="C2" s="148"/>
      <c r="D2" s="148"/>
      <c r="E2" s="148"/>
      <c r="F2" s="148"/>
      <c r="H2" s="18" t="s">
        <v>142</v>
      </c>
      <c r="I2" s="19">
        <v>34000</v>
      </c>
    </row>
    <row r="3" spans="1:9" ht="16.5" thickTop="1" thickBot="1" x14ac:dyDescent="0.3"/>
    <row r="4" spans="1:9" ht="15.75" thickBot="1" x14ac:dyDescent="0.3">
      <c r="A4" s="20" t="s">
        <v>143</v>
      </c>
      <c r="B4" s="20" t="s">
        <v>144</v>
      </c>
      <c r="C4" s="20" t="s">
        <v>145</v>
      </c>
      <c r="D4" s="20" t="s">
        <v>146</v>
      </c>
      <c r="E4" s="20" t="s">
        <v>147</v>
      </c>
      <c r="F4" s="20" t="s">
        <v>148</v>
      </c>
      <c r="H4" s="21" t="s">
        <v>149</v>
      </c>
      <c r="I4" s="22" t="s">
        <v>150</v>
      </c>
    </row>
    <row r="5" spans="1:9" x14ac:dyDescent="0.25">
      <c r="A5" s="23" t="s">
        <v>151</v>
      </c>
      <c r="B5" s="24">
        <v>9550</v>
      </c>
      <c r="C5" s="24">
        <v>9230</v>
      </c>
      <c r="D5" s="24">
        <v>8500</v>
      </c>
      <c r="E5" s="24">
        <v>8965</v>
      </c>
      <c r="F5" s="25">
        <f>SUM(B5:E5)</f>
        <v>36245</v>
      </c>
      <c r="H5" s="26"/>
      <c r="I5" s="27"/>
    </row>
    <row r="6" spans="1:9" x14ac:dyDescent="0.25">
      <c r="A6" s="23" t="s">
        <v>152</v>
      </c>
      <c r="B6" s="24">
        <v>5975</v>
      </c>
      <c r="C6" s="24">
        <v>6900</v>
      </c>
      <c r="D6" s="24">
        <v>8500</v>
      </c>
      <c r="E6" s="24">
        <v>10100</v>
      </c>
      <c r="F6" s="25">
        <f t="shared" ref="F6:F10" si="0">SUM(B6:E6)</f>
        <v>31475</v>
      </c>
      <c r="H6" s="26"/>
      <c r="I6" s="27"/>
    </row>
    <row r="7" spans="1:9" x14ac:dyDescent="0.25">
      <c r="A7" s="23" t="s">
        <v>153</v>
      </c>
      <c r="B7" s="24">
        <v>7825</v>
      </c>
      <c r="C7" s="24">
        <v>8580</v>
      </c>
      <c r="D7" s="24">
        <v>9910</v>
      </c>
      <c r="E7" s="24">
        <v>7512</v>
      </c>
      <c r="F7" s="25">
        <f t="shared" si="0"/>
        <v>33827</v>
      </c>
      <c r="H7" s="26"/>
      <c r="I7" s="27"/>
    </row>
    <row r="8" spans="1:9" x14ac:dyDescent="0.25">
      <c r="A8" s="23" t="s">
        <v>154</v>
      </c>
      <c r="B8" s="24">
        <v>9560</v>
      </c>
      <c r="C8" s="24">
        <v>10150</v>
      </c>
      <c r="D8" s="24">
        <v>11200</v>
      </c>
      <c r="E8" s="24">
        <v>9795</v>
      </c>
      <c r="F8" s="25">
        <f t="shared" si="0"/>
        <v>40705</v>
      </c>
      <c r="H8" s="26"/>
      <c r="I8" s="27"/>
    </row>
    <row r="9" spans="1:9" x14ac:dyDescent="0.25">
      <c r="A9" s="28" t="s">
        <v>155</v>
      </c>
      <c r="B9" s="29">
        <v>8800</v>
      </c>
      <c r="C9" s="29">
        <v>7645</v>
      </c>
      <c r="D9" s="29">
        <v>9250</v>
      </c>
      <c r="E9" s="29">
        <v>8304</v>
      </c>
      <c r="F9" s="25">
        <f t="shared" si="0"/>
        <v>33999</v>
      </c>
      <c r="H9" s="26"/>
      <c r="I9" s="27"/>
    </row>
    <row r="10" spans="1:9" ht="15.75" thickBot="1" x14ac:dyDescent="0.3">
      <c r="A10" s="30" t="s">
        <v>156</v>
      </c>
      <c r="B10" s="31">
        <v>7892</v>
      </c>
      <c r="C10" s="31">
        <v>9695</v>
      </c>
      <c r="D10" s="31">
        <v>9520</v>
      </c>
      <c r="E10" s="31">
        <v>10252</v>
      </c>
      <c r="F10" s="25">
        <f t="shared" si="0"/>
        <v>37359</v>
      </c>
      <c r="H10" s="26"/>
      <c r="I10" s="27"/>
    </row>
    <row r="12" spans="1:9" s="129" customFormat="1" ht="12.75" x14ac:dyDescent="0.2">
      <c r="D12" s="147"/>
      <c r="E12" s="147"/>
    </row>
    <row r="13" spans="1:9" s="129" customFormat="1" ht="12.75" x14ac:dyDescent="0.2">
      <c r="D13" s="147"/>
      <c r="E13" s="147"/>
    </row>
    <row r="14" spans="1:9" s="129" customFormat="1" ht="12.75" x14ac:dyDescent="0.2">
      <c r="D14" s="147"/>
      <c r="E14" s="147"/>
    </row>
    <row r="15" spans="1:9" s="129" customFormat="1" ht="12.75" x14ac:dyDescent="0.2">
      <c r="D15" s="147"/>
      <c r="E15" s="147"/>
    </row>
    <row r="16" spans="1:9" s="129" customFormat="1" ht="12.75" x14ac:dyDescent="0.2">
      <c r="D16" s="147"/>
      <c r="E16" s="147"/>
    </row>
  </sheetData>
  <mergeCells count="6">
    <mergeCell ref="D16:E16"/>
    <mergeCell ref="A2:F2"/>
    <mergeCell ref="D12:E12"/>
    <mergeCell ref="D13:E13"/>
    <mergeCell ref="D14:E14"/>
    <mergeCell ref="D15:E15"/>
  </mergeCell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16019-D817-41F8-B2F9-E4E81BE3C7BC}">
  <sheetPr codeName="Sheet4"/>
  <dimension ref="A2:U21"/>
  <sheetViews>
    <sheetView zoomScale="106" zoomScaleNormal="106" workbookViewId="0">
      <selection activeCell="O21" sqref="O21"/>
    </sheetView>
  </sheetViews>
  <sheetFormatPr defaultColWidth="9.140625" defaultRowHeight="15" x14ac:dyDescent="0.25"/>
  <cols>
    <col min="1" max="1" width="5.42578125" style="1" customWidth="1"/>
    <col min="2" max="2" width="10.42578125" style="1" bestFit="1" customWidth="1"/>
    <col min="3" max="3" width="10.85546875" style="1" bestFit="1" customWidth="1"/>
    <col min="4" max="4" width="3.140625" style="1" customWidth="1"/>
    <col min="5" max="5" width="10.5703125" style="1" bestFit="1" customWidth="1"/>
    <col min="6" max="6" width="5.140625" style="1" customWidth="1"/>
    <col min="7" max="7" width="9.140625" style="1"/>
    <col min="8" max="8" width="4.42578125" style="1" bestFit="1" customWidth="1"/>
    <col min="9" max="9" width="15.85546875" style="1" bestFit="1" customWidth="1"/>
    <col min="10" max="10" width="5.5703125" style="1" bestFit="1" customWidth="1"/>
    <col min="11" max="11" width="9.140625" style="1"/>
    <col min="12" max="12" width="11.140625" style="1" bestFit="1" customWidth="1"/>
    <col min="13" max="13" width="9.140625" style="1"/>
    <col min="14" max="14" width="10.85546875" style="1" bestFit="1" customWidth="1"/>
    <col min="15" max="16" width="9.85546875" style="1" bestFit="1" customWidth="1"/>
    <col min="17" max="17" width="7.85546875" style="1" bestFit="1" customWidth="1"/>
    <col min="18" max="18" width="10.85546875" style="1" bestFit="1" customWidth="1"/>
    <col min="19" max="20" width="9.85546875" style="1" bestFit="1" customWidth="1"/>
    <col min="21" max="21" width="7.85546875" style="1" bestFit="1" customWidth="1"/>
    <col min="22" max="16384" width="9.140625" style="1"/>
  </cols>
  <sheetData>
    <row r="2" spans="1:21" ht="15.75" x14ac:dyDescent="0.25">
      <c r="A2" s="62"/>
      <c r="B2" s="63"/>
      <c r="C2" s="63"/>
      <c r="D2" s="63"/>
      <c r="E2" s="63"/>
      <c r="F2" s="64"/>
      <c r="H2" s="62"/>
      <c r="I2" s="65"/>
      <c r="J2" s="66"/>
      <c r="L2" s="67" t="s">
        <v>596</v>
      </c>
      <c r="R2" s="149" t="s">
        <v>597</v>
      </c>
      <c r="S2" s="149"/>
      <c r="T2" s="149"/>
      <c r="U2" s="149"/>
    </row>
    <row r="3" spans="1:21" ht="19.5" x14ac:dyDescent="0.25">
      <c r="A3" s="68"/>
      <c r="B3" s="69"/>
      <c r="C3" s="69"/>
      <c r="D3" s="69"/>
      <c r="E3" s="69"/>
      <c r="F3" s="70"/>
      <c r="H3" s="68"/>
      <c r="I3" s="69"/>
      <c r="J3" s="70"/>
      <c r="L3" s="71" t="s">
        <v>598</v>
      </c>
      <c r="R3" s="72" t="s">
        <v>2</v>
      </c>
      <c r="S3" s="72" t="s">
        <v>599</v>
      </c>
      <c r="T3" s="72" t="s">
        <v>600</v>
      </c>
      <c r="U3" s="72" t="s">
        <v>601</v>
      </c>
    </row>
    <row r="4" spans="1:21" ht="30" x14ac:dyDescent="0.25">
      <c r="A4" s="68"/>
      <c r="B4" s="67" t="s">
        <v>4</v>
      </c>
      <c r="C4" s="67" t="s">
        <v>5</v>
      </c>
      <c r="D4" s="69"/>
      <c r="E4" s="73" t="s">
        <v>602</v>
      </c>
      <c r="F4" s="74"/>
      <c r="H4" s="75" t="s">
        <v>603</v>
      </c>
      <c r="I4" s="76" t="s">
        <v>604</v>
      </c>
      <c r="J4" s="77" t="s">
        <v>605</v>
      </c>
      <c r="L4" s="71" t="s">
        <v>606</v>
      </c>
      <c r="R4" s="78" t="s">
        <v>607</v>
      </c>
      <c r="S4" s="79" t="s">
        <v>608</v>
      </c>
      <c r="T4" s="80" t="str">
        <f>PROPER(S4)</f>
        <v>Faz Karim</v>
      </c>
      <c r="U4" s="80"/>
    </row>
    <row r="5" spans="1:21" ht="30" x14ac:dyDescent="0.25">
      <c r="A5" s="68"/>
      <c r="B5" s="71" t="s">
        <v>16</v>
      </c>
      <c r="C5" s="71" t="s">
        <v>17</v>
      </c>
      <c r="D5" s="69"/>
      <c r="E5" s="13"/>
      <c r="F5" s="74"/>
      <c r="H5" s="81"/>
      <c r="I5" s="81"/>
      <c r="J5" s="81"/>
      <c r="L5" s="71" t="s">
        <v>609</v>
      </c>
      <c r="R5" s="78" t="s">
        <v>610</v>
      </c>
      <c r="S5" s="79" t="s">
        <v>608</v>
      </c>
      <c r="T5" s="80" t="str">
        <f>UPPER(S5)</f>
        <v>FAZ KARIM</v>
      </c>
      <c r="U5" s="80"/>
    </row>
    <row r="6" spans="1:21" x14ac:dyDescent="0.25">
      <c r="A6" s="68"/>
      <c r="B6" s="71" t="s">
        <v>21</v>
      </c>
      <c r="C6" s="71" t="s">
        <v>22</v>
      </c>
      <c r="D6" s="69"/>
      <c r="E6" s="13"/>
      <c r="F6" s="74"/>
      <c r="H6" s="68"/>
      <c r="I6" s="69"/>
      <c r="J6" s="70"/>
      <c r="L6" s="71" t="s">
        <v>611</v>
      </c>
      <c r="R6" s="78" t="s">
        <v>612</v>
      </c>
      <c r="S6" s="79" t="s">
        <v>613</v>
      </c>
      <c r="T6" s="80" t="str">
        <f>LOWER(S6)</f>
        <v>faz karim</v>
      </c>
      <c r="U6" s="80"/>
    </row>
    <row r="7" spans="1:21" x14ac:dyDescent="0.25">
      <c r="A7" s="68"/>
      <c r="B7" s="71" t="s">
        <v>24</v>
      </c>
      <c r="C7" s="71" t="s">
        <v>25</v>
      </c>
      <c r="D7" s="69"/>
      <c r="E7" s="13"/>
      <c r="F7" s="74"/>
      <c r="H7" s="68"/>
      <c r="I7" s="69"/>
      <c r="J7" s="70"/>
      <c r="L7" s="71" t="s">
        <v>614</v>
      </c>
    </row>
    <row r="8" spans="1:21" ht="20.25" thickBot="1" x14ac:dyDescent="0.35">
      <c r="A8" s="68"/>
      <c r="B8" s="71" t="s">
        <v>27</v>
      </c>
      <c r="C8" s="71" t="s">
        <v>28</v>
      </c>
      <c r="D8" s="69"/>
      <c r="E8" s="13"/>
      <c r="F8" s="74"/>
      <c r="H8" s="68"/>
      <c r="I8" s="82" t="s">
        <v>615</v>
      </c>
      <c r="J8" s="70"/>
      <c r="L8" s="71" t="s">
        <v>616</v>
      </c>
    </row>
    <row r="9" spans="1:21" ht="15.75" thickTop="1" x14ac:dyDescent="0.25">
      <c r="A9" s="68"/>
      <c r="B9" s="71" t="s">
        <v>32</v>
      </c>
      <c r="C9" s="71" t="s">
        <v>33</v>
      </c>
      <c r="D9" s="69"/>
      <c r="E9" s="13"/>
      <c r="F9" s="74"/>
      <c r="H9" s="68"/>
      <c r="I9" s="69"/>
      <c r="J9" s="70"/>
    </row>
    <row r="10" spans="1:21" x14ac:dyDescent="0.25">
      <c r="A10" s="68"/>
      <c r="B10" s="71" t="s">
        <v>36</v>
      </c>
      <c r="C10" s="71" t="s">
        <v>37</v>
      </c>
      <c r="D10" s="69"/>
      <c r="E10" s="13"/>
      <c r="F10" s="74"/>
      <c r="H10" s="68"/>
      <c r="I10" s="69"/>
      <c r="J10" s="70"/>
    </row>
    <row r="11" spans="1:21" x14ac:dyDescent="0.25">
      <c r="A11" s="68"/>
      <c r="B11" s="71" t="s">
        <v>39</v>
      </c>
      <c r="C11" s="71" t="s">
        <v>40</v>
      </c>
      <c r="D11" s="69"/>
      <c r="E11" s="13"/>
      <c r="F11" s="74"/>
      <c r="H11" s="68"/>
      <c r="I11" s="69"/>
      <c r="J11" s="70"/>
    </row>
    <row r="12" spans="1:21" x14ac:dyDescent="0.25">
      <c r="A12" s="68"/>
      <c r="B12" s="71" t="s">
        <v>44</v>
      </c>
      <c r="C12" s="71" t="s">
        <v>45</v>
      </c>
      <c r="D12" s="69"/>
      <c r="E12" s="13"/>
      <c r="F12" s="74"/>
      <c r="H12" s="68"/>
      <c r="I12" s="69"/>
      <c r="J12" s="70"/>
    </row>
    <row r="13" spans="1:21" x14ac:dyDescent="0.25">
      <c r="A13" s="68"/>
      <c r="B13" s="71" t="s">
        <v>48</v>
      </c>
      <c r="C13" s="71" t="s">
        <v>49</v>
      </c>
      <c r="D13" s="69"/>
      <c r="E13" s="13"/>
      <c r="F13" s="74"/>
      <c r="H13" s="68"/>
      <c r="I13" s="69"/>
      <c r="J13" s="70"/>
    </row>
    <row r="14" spans="1:21" x14ac:dyDescent="0.25">
      <c r="A14" s="68"/>
      <c r="B14" s="71" t="s">
        <v>51</v>
      </c>
      <c r="C14" s="71" t="s">
        <v>52</v>
      </c>
      <c r="D14" s="69"/>
      <c r="E14" s="13"/>
      <c r="F14" s="74"/>
      <c r="H14" s="68"/>
      <c r="I14" s="69"/>
      <c r="J14" s="70"/>
    </row>
    <row r="15" spans="1:21" x14ac:dyDescent="0.25">
      <c r="A15" s="68"/>
      <c r="B15" s="71" t="s">
        <v>54</v>
      </c>
      <c r="C15" s="71" t="s">
        <v>55</v>
      </c>
      <c r="D15" s="69"/>
      <c r="E15" s="13"/>
      <c r="F15" s="74"/>
      <c r="H15" s="68"/>
      <c r="I15" s="69"/>
      <c r="J15" s="70"/>
    </row>
    <row r="16" spans="1:21" x14ac:dyDescent="0.25">
      <c r="A16" s="68"/>
      <c r="B16" s="71" t="s">
        <v>617</v>
      </c>
      <c r="C16" s="71" t="s">
        <v>58</v>
      </c>
      <c r="D16" s="69"/>
      <c r="E16" s="13"/>
      <c r="F16" s="74"/>
      <c r="H16" s="68"/>
      <c r="I16" s="69"/>
      <c r="J16" s="70"/>
    </row>
    <row r="17" spans="1:10" x14ac:dyDescent="0.25">
      <c r="A17" s="68"/>
      <c r="B17" s="71" t="s">
        <v>16</v>
      </c>
      <c r="C17" s="71" t="s">
        <v>60</v>
      </c>
      <c r="D17" s="69"/>
      <c r="E17" s="13"/>
      <c r="F17" s="74"/>
      <c r="H17" s="68"/>
      <c r="I17" s="69"/>
      <c r="J17" s="70"/>
    </row>
    <row r="18" spans="1:10" x14ac:dyDescent="0.25">
      <c r="A18" s="68"/>
      <c r="B18" s="71" t="s">
        <v>62</v>
      </c>
      <c r="C18" s="71" t="s">
        <v>63</v>
      </c>
      <c r="D18" s="69"/>
      <c r="E18" s="13"/>
      <c r="F18" s="74"/>
      <c r="H18" s="68"/>
      <c r="I18" s="69"/>
      <c r="J18" s="70"/>
    </row>
    <row r="19" spans="1:10" x14ac:dyDescent="0.25">
      <c r="A19" s="68"/>
      <c r="B19" s="71" t="s">
        <v>65</v>
      </c>
      <c r="C19" s="71" t="s">
        <v>66</v>
      </c>
      <c r="D19" s="69"/>
      <c r="E19" s="13"/>
      <c r="F19" s="74"/>
      <c r="H19" s="68"/>
      <c r="I19" s="69"/>
      <c r="J19" s="70"/>
    </row>
    <row r="20" spans="1:10" x14ac:dyDescent="0.25">
      <c r="A20" s="68"/>
      <c r="B20" s="71" t="s">
        <v>68</v>
      </c>
      <c r="C20" s="71" t="s">
        <v>69</v>
      </c>
      <c r="D20" s="69"/>
      <c r="E20" s="13"/>
      <c r="F20" s="70"/>
      <c r="H20" s="68"/>
      <c r="I20" s="69"/>
      <c r="J20" s="70"/>
    </row>
    <row r="21" spans="1:10" x14ac:dyDescent="0.25">
      <c r="A21" s="83"/>
      <c r="B21" s="84"/>
      <c r="C21" s="84"/>
      <c r="D21" s="84"/>
      <c r="E21" s="84"/>
      <c r="F21" s="85"/>
      <c r="H21" s="83"/>
      <c r="I21" s="84"/>
      <c r="J21" s="85"/>
    </row>
  </sheetData>
  <mergeCells count="1">
    <mergeCell ref="R2:U2"/>
  </mergeCells>
  <pageMargins left="0.75" right="0.75" top="1" bottom="1" header="0.5" footer="0.5"/>
  <pageSetup orientation="portrait"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D3EE2-ADF9-4709-A703-92832263D8BE}">
  <sheetPr codeName="Sheet5"/>
  <dimension ref="A1:O99"/>
  <sheetViews>
    <sheetView zoomScale="145" zoomScaleNormal="145" zoomScalePageLayoutView="190" workbookViewId="0">
      <selection activeCell="M9" sqref="M9"/>
    </sheetView>
  </sheetViews>
  <sheetFormatPr defaultColWidth="8.85546875" defaultRowHeight="12.75" x14ac:dyDescent="0.2"/>
  <cols>
    <col min="1" max="1" width="9.7109375" style="46" customWidth="1"/>
    <col min="2" max="2" width="10.28515625" style="46" customWidth="1"/>
    <col min="3" max="3" width="8.85546875" style="46"/>
    <col min="4" max="4" width="11.42578125" style="46" customWidth="1"/>
    <col min="5" max="5" width="9" style="46" bestFit="1" customWidth="1"/>
    <col min="6" max="6" width="13.85546875" style="46" bestFit="1" customWidth="1"/>
    <col min="7" max="8" width="5.42578125" style="46" bestFit="1" customWidth="1"/>
    <col min="9" max="9" width="8.85546875" style="46"/>
    <col min="10" max="10" width="10.7109375" style="46" customWidth="1"/>
    <col min="11" max="11" width="8.140625" style="46" customWidth="1"/>
    <col min="12" max="12" width="10.85546875" style="46" bestFit="1" customWidth="1"/>
    <col min="13" max="13" width="11.28515625" style="46" bestFit="1" customWidth="1"/>
    <col min="14" max="16384" width="8.85546875" style="46"/>
  </cols>
  <sheetData>
    <row r="1" spans="1:15" ht="15.75" x14ac:dyDescent="0.25">
      <c r="A1" s="44" t="s">
        <v>311</v>
      </c>
      <c r="B1" s="45"/>
      <c r="C1" s="45"/>
      <c r="D1" s="45"/>
      <c r="E1" s="45"/>
      <c r="F1" s="45"/>
      <c r="G1" s="45"/>
      <c r="H1" s="45"/>
      <c r="I1" s="45"/>
      <c r="J1" s="45"/>
    </row>
    <row r="2" spans="1:15" ht="12.75" customHeight="1" x14ac:dyDescent="0.2">
      <c r="C2" s="47" t="s">
        <v>312</v>
      </c>
      <c r="F2" s="48">
        <v>44104</v>
      </c>
    </row>
    <row r="3" spans="1:15" ht="12.75" customHeight="1" x14ac:dyDescent="0.2"/>
    <row r="4" spans="1:15" ht="25.5" customHeight="1" thickBot="1" x14ac:dyDescent="0.25">
      <c r="A4" s="49" t="s">
        <v>313</v>
      </c>
      <c r="B4" s="49" t="s">
        <v>314</v>
      </c>
      <c r="C4" s="49" t="s">
        <v>315</v>
      </c>
      <c r="D4" s="49" t="s">
        <v>316</v>
      </c>
      <c r="E4" s="49" t="s">
        <v>317</v>
      </c>
      <c r="F4" s="49" t="s">
        <v>318</v>
      </c>
      <c r="G4" s="50" t="s">
        <v>319</v>
      </c>
      <c r="H4" s="49" t="s">
        <v>320</v>
      </c>
      <c r="I4" s="51" t="s">
        <v>321</v>
      </c>
      <c r="J4" s="51" t="s">
        <v>322</v>
      </c>
      <c r="K4" s="52" t="s">
        <v>323</v>
      </c>
      <c r="L4" s="53" t="s">
        <v>324</v>
      </c>
      <c r="M4" s="54" t="s">
        <v>325</v>
      </c>
    </row>
    <row r="5" spans="1:15" x14ac:dyDescent="0.2">
      <c r="A5" s="46" t="s">
        <v>326</v>
      </c>
      <c r="B5" s="46" t="s">
        <v>327</v>
      </c>
      <c r="C5" s="46" t="s">
        <v>328</v>
      </c>
      <c r="D5" s="46" t="s">
        <v>329</v>
      </c>
      <c r="E5" s="46" t="s">
        <v>330</v>
      </c>
      <c r="F5" s="55">
        <v>37245</v>
      </c>
      <c r="G5" s="56" t="s">
        <v>331</v>
      </c>
      <c r="H5" s="46">
        <v>35.5</v>
      </c>
      <c r="I5" s="57">
        <v>12.5</v>
      </c>
      <c r="J5" s="57">
        <f t="shared" ref="J5:J68" si="0">H5*I5</f>
        <v>443.75</v>
      </c>
      <c r="K5" s="58" t="str">
        <f>IF(H5&gt;=40,"FT","PT")</f>
        <v>PT</v>
      </c>
      <c r="L5" s="59">
        <f>YEAR(F5)</f>
        <v>2001</v>
      </c>
      <c r="M5" s="60" t="str">
        <f>MONTH(F5)&amp;"/"&amp;YEAR(F5)</f>
        <v>12/2001</v>
      </c>
    </row>
    <row r="6" spans="1:15" x14ac:dyDescent="0.2">
      <c r="A6" s="46" t="s">
        <v>332</v>
      </c>
      <c r="B6" s="46" t="s">
        <v>333</v>
      </c>
      <c r="C6" s="46" t="s">
        <v>334</v>
      </c>
      <c r="D6" s="46" t="s">
        <v>335</v>
      </c>
      <c r="E6" s="46" t="s">
        <v>330</v>
      </c>
      <c r="F6" s="55">
        <v>36708</v>
      </c>
      <c r="G6" s="56" t="s">
        <v>336</v>
      </c>
      <c r="H6" s="46">
        <v>35.5</v>
      </c>
      <c r="I6" s="57">
        <v>13.3</v>
      </c>
      <c r="J6" s="57">
        <f t="shared" si="0"/>
        <v>472.15000000000003</v>
      </c>
      <c r="K6" s="58" t="str">
        <f t="shared" ref="K6:K69" si="1">IF(H6&gt;=40,"FT","PT")</f>
        <v>PT</v>
      </c>
      <c r="L6" s="59">
        <f t="shared" ref="L6:L69" si="2">YEAR(F6)</f>
        <v>2000</v>
      </c>
      <c r="M6" s="60" t="str">
        <f t="shared" ref="M6:M69" si="3">MONTH(F6)&amp;"/"&amp;YEAR(F6)</f>
        <v>7/2000</v>
      </c>
    </row>
    <row r="7" spans="1:15" x14ac:dyDescent="0.2">
      <c r="A7" s="46" t="s">
        <v>337</v>
      </c>
      <c r="B7" s="46" t="s">
        <v>338</v>
      </c>
      <c r="C7" s="46" t="s">
        <v>339</v>
      </c>
      <c r="D7" s="46" t="s">
        <v>340</v>
      </c>
      <c r="E7" s="46" t="s">
        <v>330</v>
      </c>
      <c r="F7" s="55">
        <v>38555</v>
      </c>
      <c r="G7" s="56" t="s">
        <v>341</v>
      </c>
      <c r="H7" s="46">
        <v>42</v>
      </c>
      <c r="I7" s="57">
        <v>16.75</v>
      </c>
      <c r="J7" s="57">
        <f t="shared" si="0"/>
        <v>703.5</v>
      </c>
      <c r="K7" s="58" t="str">
        <f t="shared" si="1"/>
        <v>FT</v>
      </c>
      <c r="L7" s="59">
        <f t="shared" si="2"/>
        <v>2005</v>
      </c>
      <c r="M7" s="60" t="str">
        <f t="shared" si="3"/>
        <v>7/2005</v>
      </c>
      <c r="O7" s="61"/>
    </row>
    <row r="8" spans="1:15" x14ac:dyDescent="0.2">
      <c r="A8" s="46" t="s">
        <v>342</v>
      </c>
      <c r="B8" s="46" t="s">
        <v>343</v>
      </c>
      <c r="C8" s="46" t="s">
        <v>344</v>
      </c>
      <c r="D8" s="46" t="s">
        <v>345</v>
      </c>
      <c r="E8" s="46" t="s">
        <v>330</v>
      </c>
      <c r="F8" s="55">
        <v>37776</v>
      </c>
      <c r="G8" s="56" t="s">
        <v>346</v>
      </c>
      <c r="H8" s="46">
        <v>40</v>
      </c>
      <c r="I8" s="57">
        <v>8.75</v>
      </c>
      <c r="J8" s="57">
        <f t="shared" si="0"/>
        <v>350</v>
      </c>
      <c r="K8" s="58" t="str">
        <f t="shared" si="1"/>
        <v>FT</v>
      </c>
      <c r="L8" s="59">
        <f t="shared" si="2"/>
        <v>2003</v>
      </c>
      <c r="M8" s="60" t="str">
        <f t="shared" si="3"/>
        <v>6/2003</v>
      </c>
    </row>
    <row r="9" spans="1:15" x14ac:dyDescent="0.2">
      <c r="A9" s="46" t="s">
        <v>45</v>
      </c>
      <c r="B9" s="46" t="s">
        <v>347</v>
      </c>
      <c r="C9" s="46" t="s">
        <v>348</v>
      </c>
      <c r="D9" s="46" t="s">
        <v>335</v>
      </c>
      <c r="E9" s="46" t="s">
        <v>349</v>
      </c>
      <c r="F9" s="55">
        <v>35954</v>
      </c>
      <c r="G9" s="56" t="s">
        <v>341</v>
      </c>
      <c r="H9" s="46">
        <v>40</v>
      </c>
      <c r="I9" s="57">
        <v>12.6</v>
      </c>
      <c r="J9" s="57">
        <f t="shared" si="0"/>
        <v>504</v>
      </c>
      <c r="K9" s="58" t="str">
        <f t="shared" si="1"/>
        <v>FT</v>
      </c>
      <c r="L9" s="59">
        <f t="shared" si="2"/>
        <v>1998</v>
      </c>
      <c r="M9" s="60" t="str">
        <f t="shared" si="3"/>
        <v>6/1998</v>
      </c>
    </row>
    <row r="10" spans="1:15" x14ac:dyDescent="0.2">
      <c r="A10" s="46" t="s">
        <v>350</v>
      </c>
      <c r="B10" s="46" t="s">
        <v>351</v>
      </c>
      <c r="C10" s="46" t="s">
        <v>352</v>
      </c>
      <c r="D10" s="46" t="s">
        <v>335</v>
      </c>
      <c r="E10" s="46" t="s">
        <v>353</v>
      </c>
      <c r="F10" s="55">
        <v>37408</v>
      </c>
      <c r="G10" s="56" t="s">
        <v>336</v>
      </c>
      <c r="H10" s="46">
        <v>35</v>
      </c>
      <c r="I10" s="57">
        <v>24</v>
      </c>
      <c r="J10" s="57">
        <f t="shared" si="0"/>
        <v>840</v>
      </c>
      <c r="K10" s="58" t="str">
        <f t="shared" si="1"/>
        <v>PT</v>
      </c>
      <c r="L10" s="59">
        <f t="shared" si="2"/>
        <v>2002</v>
      </c>
      <c r="M10" s="60" t="str">
        <f t="shared" si="3"/>
        <v>6/2002</v>
      </c>
    </row>
    <row r="11" spans="1:15" x14ac:dyDescent="0.2">
      <c r="A11" s="46" t="s">
        <v>354</v>
      </c>
      <c r="B11" s="46" t="s">
        <v>355</v>
      </c>
      <c r="C11" s="46" t="s">
        <v>356</v>
      </c>
      <c r="D11" s="46" t="s">
        <v>340</v>
      </c>
      <c r="E11" s="46" t="s">
        <v>330</v>
      </c>
      <c r="F11" s="55">
        <v>38040</v>
      </c>
      <c r="G11" s="56" t="s">
        <v>346</v>
      </c>
      <c r="H11" s="46">
        <v>35</v>
      </c>
      <c r="I11" s="57">
        <v>12.1</v>
      </c>
      <c r="J11" s="57">
        <f t="shared" si="0"/>
        <v>423.5</v>
      </c>
      <c r="K11" s="58" t="str">
        <f t="shared" si="1"/>
        <v>PT</v>
      </c>
      <c r="L11" s="59">
        <f t="shared" si="2"/>
        <v>2004</v>
      </c>
      <c r="M11" s="60" t="str">
        <f t="shared" si="3"/>
        <v>2/2004</v>
      </c>
    </row>
    <row r="12" spans="1:15" x14ac:dyDescent="0.2">
      <c r="A12" s="46" t="s">
        <v>357</v>
      </c>
      <c r="B12" s="46" t="s">
        <v>358</v>
      </c>
      <c r="C12" s="46" t="s">
        <v>359</v>
      </c>
      <c r="D12" s="46" t="s">
        <v>329</v>
      </c>
      <c r="E12" s="46" t="s">
        <v>349</v>
      </c>
      <c r="F12" s="55">
        <v>35896</v>
      </c>
      <c r="G12" s="56" t="s">
        <v>336</v>
      </c>
      <c r="H12" s="46">
        <v>40</v>
      </c>
      <c r="I12" s="57">
        <v>21.5</v>
      </c>
      <c r="J12" s="57">
        <f t="shared" si="0"/>
        <v>860</v>
      </c>
      <c r="K12" s="58" t="str">
        <f t="shared" si="1"/>
        <v>FT</v>
      </c>
      <c r="L12" s="59">
        <f t="shared" si="2"/>
        <v>1998</v>
      </c>
      <c r="M12" s="60" t="str">
        <f t="shared" si="3"/>
        <v>4/1998</v>
      </c>
    </row>
    <row r="13" spans="1:15" x14ac:dyDescent="0.2">
      <c r="A13" s="46" t="s">
        <v>360</v>
      </c>
      <c r="B13" s="46" t="s">
        <v>361</v>
      </c>
      <c r="C13" s="46" t="s">
        <v>362</v>
      </c>
      <c r="D13" s="46" t="s">
        <v>340</v>
      </c>
      <c r="E13" s="46" t="s">
        <v>363</v>
      </c>
      <c r="F13" s="55">
        <v>38380</v>
      </c>
      <c r="G13" s="56" t="s">
        <v>364</v>
      </c>
      <c r="H13" s="46">
        <v>35.5</v>
      </c>
      <c r="I13" s="57">
        <v>13.3</v>
      </c>
      <c r="J13" s="57">
        <f t="shared" si="0"/>
        <v>472.15000000000003</v>
      </c>
      <c r="K13" s="58" t="str">
        <f t="shared" si="1"/>
        <v>PT</v>
      </c>
      <c r="L13" s="59">
        <f t="shared" si="2"/>
        <v>2005</v>
      </c>
      <c r="M13" s="60" t="str">
        <f t="shared" si="3"/>
        <v>1/2005</v>
      </c>
    </row>
    <row r="14" spans="1:15" x14ac:dyDescent="0.2">
      <c r="A14" s="46" t="s">
        <v>365</v>
      </c>
      <c r="B14" s="46" t="s">
        <v>366</v>
      </c>
      <c r="C14" s="46" t="s">
        <v>367</v>
      </c>
      <c r="D14" s="46" t="s">
        <v>329</v>
      </c>
      <c r="E14" s="46" t="s">
        <v>349</v>
      </c>
      <c r="F14" s="55">
        <v>38712</v>
      </c>
      <c r="G14" s="56"/>
      <c r="H14" s="46">
        <v>40</v>
      </c>
      <c r="I14" s="57">
        <v>21.5</v>
      </c>
      <c r="J14" s="57">
        <f t="shared" si="0"/>
        <v>860</v>
      </c>
      <c r="K14" s="58" t="str">
        <f t="shared" si="1"/>
        <v>FT</v>
      </c>
      <c r="L14" s="59">
        <f t="shared" si="2"/>
        <v>2005</v>
      </c>
      <c r="M14" s="60" t="str">
        <f t="shared" si="3"/>
        <v>12/2005</v>
      </c>
    </row>
    <row r="15" spans="1:15" x14ac:dyDescent="0.2">
      <c r="A15" s="46" t="s">
        <v>368</v>
      </c>
      <c r="B15" s="46" t="s">
        <v>369</v>
      </c>
      <c r="C15" s="46" t="s">
        <v>370</v>
      </c>
      <c r="D15" s="46" t="s">
        <v>335</v>
      </c>
      <c r="E15" s="46" t="s">
        <v>349</v>
      </c>
      <c r="F15" s="55">
        <v>36377</v>
      </c>
      <c r="G15" s="56" t="s">
        <v>331</v>
      </c>
      <c r="H15" s="46">
        <v>35.5</v>
      </c>
      <c r="I15" s="57">
        <v>13.3</v>
      </c>
      <c r="J15" s="57">
        <f t="shared" si="0"/>
        <v>472.15000000000003</v>
      </c>
      <c r="K15" s="58" t="str">
        <f t="shared" si="1"/>
        <v>PT</v>
      </c>
      <c r="L15" s="59">
        <f t="shared" si="2"/>
        <v>1999</v>
      </c>
      <c r="M15" s="60" t="str">
        <f t="shared" si="3"/>
        <v>8/1999</v>
      </c>
    </row>
    <row r="16" spans="1:15" x14ac:dyDescent="0.2">
      <c r="A16" s="46" t="s">
        <v>371</v>
      </c>
      <c r="B16" s="46" t="s">
        <v>372</v>
      </c>
      <c r="C16" s="46" t="s">
        <v>373</v>
      </c>
      <c r="D16" s="46" t="s">
        <v>340</v>
      </c>
      <c r="E16" s="46" t="s">
        <v>349</v>
      </c>
      <c r="F16" s="55">
        <v>38443</v>
      </c>
      <c r="G16" s="56" t="s">
        <v>341</v>
      </c>
      <c r="H16" s="46">
        <v>32</v>
      </c>
      <c r="I16" s="57">
        <v>5.5</v>
      </c>
      <c r="J16" s="57">
        <f t="shared" si="0"/>
        <v>176</v>
      </c>
      <c r="K16" s="58" t="str">
        <f t="shared" si="1"/>
        <v>PT</v>
      </c>
      <c r="L16" s="59">
        <f t="shared" si="2"/>
        <v>2005</v>
      </c>
      <c r="M16" s="60" t="str">
        <f t="shared" si="3"/>
        <v>4/2005</v>
      </c>
    </row>
    <row r="17" spans="1:13" x14ac:dyDescent="0.2">
      <c r="A17" s="46" t="s">
        <v>374</v>
      </c>
      <c r="B17" s="46" t="s">
        <v>375</v>
      </c>
      <c r="C17" s="46" t="s">
        <v>376</v>
      </c>
      <c r="D17" s="46" t="s">
        <v>329</v>
      </c>
      <c r="E17" s="46" t="s">
        <v>330</v>
      </c>
      <c r="F17" s="55">
        <v>36547</v>
      </c>
      <c r="G17" s="56" t="s">
        <v>377</v>
      </c>
      <c r="H17" s="46">
        <v>35.5</v>
      </c>
      <c r="I17" s="57">
        <v>12.5</v>
      </c>
      <c r="J17" s="57">
        <f t="shared" si="0"/>
        <v>443.75</v>
      </c>
      <c r="K17" s="58" t="str">
        <f t="shared" si="1"/>
        <v>PT</v>
      </c>
      <c r="L17" s="59">
        <f t="shared" si="2"/>
        <v>2000</v>
      </c>
      <c r="M17" s="60" t="str">
        <f t="shared" si="3"/>
        <v>1/2000</v>
      </c>
    </row>
    <row r="18" spans="1:13" x14ac:dyDescent="0.2">
      <c r="A18" s="46" t="s">
        <v>378</v>
      </c>
      <c r="B18" s="46" t="s">
        <v>379</v>
      </c>
      <c r="C18" s="46" t="s">
        <v>380</v>
      </c>
      <c r="D18" s="46" t="s">
        <v>335</v>
      </c>
      <c r="E18" s="46" t="s">
        <v>353</v>
      </c>
      <c r="F18" s="55">
        <v>37750</v>
      </c>
      <c r="G18" s="56" t="s">
        <v>377</v>
      </c>
      <c r="H18" s="46">
        <v>40</v>
      </c>
      <c r="I18" s="57">
        <v>7.22</v>
      </c>
      <c r="J18" s="57">
        <f t="shared" si="0"/>
        <v>288.8</v>
      </c>
      <c r="K18" s="58" t="str">
        <f t="shared" si="1"/>
        <v>FT</v>
      </c>
      <c r="L18" s="59">
        <f t="shared" si="2"/>
        <v>2003</v>
      </c>
      <c r="M18" s="60" t="str">
        <f t="shared" si="3"/>
        <v>5/2003</v>
      </c>
    </row>
    <row r="19" spans="1:13" x14ac:dyDescent="0.2">
      <c r="A19" s="46" t="s">
        <v>381</v>
      </c>
      <c r="B19" s="46" t="s">
        <v>382</v>
      </c>
      <c r="C19" s="46" t="s">
        <v>383</v>
      </c>
      <c r="D19" s="46" t="s">
        <v>335</v>
      </c>
      <c r="E19" s="46" t="s">
        <v>330</v>
      </c>
      <c r="F19" s="55">
        <v>37413</v>
      </c>
      <c r="G19" s="56" t="s">
        <v>377</v>
      </c>
      <c r="H19" s="46">
        <v>40</v>
      </c>
      <c r="I19" s="57">
        <v>12.6</v>
      </c>
      <c r="J19" s="57">
        <f t="shared" si="0"/>
        <v>504</v>
      </c>
      <c r="K19" s="58" t="str">
        <f t="shared" si="1"/>
        <v>FT</v>
      </c>
      <c r="L19" s="59">
        <f t="shared" si="2"/>
        <v>2002</v>
      </c>
      <c r="M19" s="60" t="str">
        <f t="shared" si="3"/>
        <v>6/2002</v>
      </c>
    </row>
    <row r="20" spans="1:13" x14ac:dyDescent="0.2">
      <c r="A20" s="46" t="s">
        <v>384</v>
      </c>
      <c r="B20" s="46" t="s">
        <v>385</v>
      </c>
      <c r="C20" s="46" t="s">
        <v>386</v>
      </c>
      <c r="D20" s="46" t="s">
        <v>335</v>
      </c>
      <c r="E20" s="46" t="s">
        <v>349</v>
      </c>
      <c r="F20" s="55">
        <v>37171</v>
      </c>
      <c r="G20" s="56" t="s">
        <v>377</v>
      </c>
      <c r="H20" s="46">
        <v>35.5</v>
      </c>
      <c r="I20" s="57">
        <v>13.3</v>
      </c>
      <c r="J20" s="57">
        <f t="shared" si="0"/>
        <v>472.15000000000003</v>
      </c>
      <c r="K20" s="58" t="str">
        <f t="shared" si="1"/>
        <v>PT</v>
      </c>
      <c r="L20" s="59">
        <f t="shared" si="2"/>
        <v>2001</v>
      </c>
      <c r="M20" s="60" t="str">
        <f t="shared" si="3"/>
        <v>10/2001</v>
      </c>
    </row>
    <row r="21" spans="1:13" x14ac:dyDescent="0.2">
      <c r="A21" s="46" t="s">
        <v>387</v>
      </c>
      <c r="B21" s="46" t="s">
        <v>388</v>
      </c>
      <c r="C21" s="46" t="s">
        <v>389</v>
      </c>
      <c r="D21" s="46" t="s">
        <v>340</v>
      </c>
      <c r="E21" s="46" t="s">
        <v>363</v>
      </c>
      <c r="F21" s="55">
        <v>36649</v>
      </c>
      <c r="G21" s="56" t="s">
        <v>390</v>
      </c>
      <c r="H21" s="46">
        <v>40</v>
      </c>
      <c r="I21" s="57">
        <v>22</v>
      </c>
      <c r="J21" s="57">
        <f t="shared" si="0"/>
        <v>880</v>
      </c>
      <c r="K21" s="58" t="str">
        <f t="shared" si="1"/>
        <v>FT</v>
      </c>
      <c r="L21" s="59">
        <f t="shared" si="2"/>
        <v>2000</v>
      </c>
      <c r="M21" s="60" t="str">
        <f t="shared" si="3"/>
        <v>5/2000</v>
      </c>
    </row>
    <row r="22" spans="1:13" x14ac:dyDescent="0.2">
      <c r="A22" s="46" t="s">
        <v>391</v>
      </c>
      <c r="B22" s="46" t="s">
        <v>392</v>
      </c>
      <c r="C22" s="46" t="s">
        <v>393</v>
      </c>
      <c r="D22" s="46" t="s">
        <v>335</v>
      </c>
      <c r="E22" s="46" t="s">
        <v>353</v>
      </c>
      <c r="F22" s="55">
        <v>37605</v>
      </c>
      <c r="G22" s="56" t="s">
        <v>390</v>
      </c>
      <c r="H22" s="46">
        <v>40</v>
      </c>
      <c r="I22" s="57">
        <v>22</v>
      </c>
      <c r="J22" s="57">
        <f t="shared" si="0"/>
        <v>880</v>
      </c>
      <c r="K22" s="58" t="str">
        <f t="shared" si="1"/>
        <v>FT</v>
      </c>
      <c r="L22" s="59">
        <f t="shared" si="2"/>
        <v>2002</v>
      </c>
      <c r="M22" s="60" t="str">
        <f t="shared" si="3"/>
        <v>12/2002</v>
      </c>
    </row>
    <row r="23" spans="1:13" x14ac:dyDescent="0.2">
      <c r="A23" s="46" t="s">
        <v>394</v>
      </c>
      <c r="B23" s="46" t="s">
        <v>395</v>
      </c>
      <c r="C23" s="46" t="s">
        <v>396</v>
      </c>
      <c r="D23" s="46" t="s">
        <v>345</v>
      </c>
      <c r="E23" s="46" t="s">
        <v>349</v>
      </c>
      <c r="F23" s="55">
        <v>37426</v>
      </c>
      <c r="G23" s="56" t="s">
        <v>346</v>
      </c>
      <c r="H23" s="46">
        <v>40</v>
      </c>
      <c r="I23" s="57">
        <v>15</v>
      </c>
      <c r="J23" s="57">
        <f t="shared" si="0"/>
        <v>600</v>
      </c>
      <c r="K23" s="58" t="str">
        <f t="shared" si="1"/>
        <v>FT</v>
      </c>
      <c r="L23" s="59">
        <f t="shared" si="2"/>
        <v>2002</v>
      </c>
      <c r="M23" s="60" t="str">
        <f t="shared" si="3"/>
        <v>6/2002</v>
      </c>
    </row>
    <row r="24" spans="1:13" x14ac:dyDescent="0.2">
      <c r="A24" s="46" t="s">
        <v>397</v>
      </c>
      <c r="B24" s="46" t="s">
        <v>398</v>
      </c>
      <c r="C24" s="46" t="s">
        <v>399</v>
      </c>
      <c r="D24" s="46" t="s">
        <v>329</v>
      </c>
      <c r="E24" s="46" t="s">
        <v>330</v>
      </c>
      <c r="F24" s="55">
        <v>37089</v>
      </c>
      <c r="G24" s="56"/>
      <c r="H24" s="46">
        <v>35.5</v>
      </c>
      <c r="I24" s="57">
        <v>12.5</v>
      </c>
      <c r="J24" s="57">
        <f t="shared" si="0"/>
        <v>443.75</v>
      </c>
      <c r="K24" s="58" t="str">
        <f t="shared" si="1"/>
        <v>PT</v>
      </c>
      <c r="L24" s="59">
        <f t="shared" si="2"/>
        <v>2001</v>
      </c>
      <c r="M24" s="60" t="str">
        <f t="shared" si="3"/>
        <v>7/2001</v>
      </c>
    </row>
    <row r="25" spans="1:13" x14ac:dyDescent="0.2">
      <c r="A25" s="46" t="s">
        <v>400</v>
      </c>
      <c r="B25" s="46" t="s">
        <v>16</v>
      </c>
      <c r="C25" s="46" t="s">
        <v>401</v>
      </c>
      <c r="D25" s="46" t="s">
        <v>335</v>
      </c>
      <c r="E25" s="46" t="s">
        <v>363</v>
      </c>
      <c r="F25" s="55">
        <v>36204</v>
      </c>
      <c r="G25" s="56" t="s">
        <v>346</v>
      </c>
      <c r="H25" s="46">
        <v>25</v>
      </c>
      <c r="I25" s="57">
        <v>8.52</v>
      </c>
      <c r="J25" s="57">
        <f t="shared" si="0"/>
        <v>213</v>
      </c>
      <c r="K25" s="58" t="str">
        <f t="shared" si="1"/>
        <v>PT</v>
      </c>
      <c r="L25" s="59">
        <f t="shared" si="2"/>
        <v>1999</v>
      </c>
      <c r="M25" s="60" t="str">
        <f t="shared" si="3"/>
        <v>2/1999</v>
      </c>
    </row>
    <row r="26" spans="1:13" x14ac:dyDescent="0.2">
      <c r="A26" s="46" t="s">
        <v>402</v>
      </c>
      <c r="B26" s="46" t="s">
        <v>403</v>
      </c>
      <c r="C26" s="46" t="s">
        <v>404</v>
      </c>
      <c r="D26" s="46" t="s">
        <v>345</v>
      </c>
      <c r="E26" s="46" t="s">
        <v>353</v>
      </c>
      <c r="F26" s="55">
        <v>36189</v>
      </c>
      <c r="G26" s="56" t="s">
        <v>390</v>
      </c>
      <c r="H26" s="46">
        <v>40</v>
      </c>
      <c r="I26" s="57">
        <v>8.75</v>
      </c>
      <c r="J26" s="57">
        <f t="shared" si="0"/>
        <v>350</v>
      </c>
      <c r="K26" s="58" t="str">
        <f t="shared" si="1"/>
        <v>FT</v>
      </c>
      <c r="L26" s="59">
        <f t="shared" si="2"/>
        <v>1999</v>
      </c>
      <c r="M26" s="60" t="str">
        <f t="shared" si="3"/>
        <v>1/1999</v>
      </c>
    </row>
    <row r="27" spans="1:13" x14ac:dyDescent="0.2">
      <c r="A27" s="46" t="s">
        <v>405</v>
      </c>
      <c r="B27" s="46" t="s">
        <v>406</v>
      </c>
      <c r="C27" s="46" t="s">
        <v>407</v>
      </c>
      <c r="D27" s="46" t="s">
        <v>329</v>
      </c>
      <c r="E27" s="46" t="s">
        <v>330</v>
      </c>
      <c r="F27" s="55">
        <v>35128</v>
      </c>
      <c r="G27" s="56" t="s">
        <v>331</v>
      </c>
      <c r="H27" s="46">
        <v>40</v>
      </c>
      <c r="I27" s="57">
        <v>19.5</v>
      </c>
      <c r="J27" s="57">
        <f t="shared" si="0"/>
        <v>780</v>
      </c>
      <c r="K27" s="58" t="str">
        <f t="shared" si="1"/>
        <v>FT</v>
      </c>
      <c r="L27" s="59">
        <f t="shared" si="2"/>
        <v>1996</v>
      </c>
      <c r="M27" s="60" t="str">
        <f t="shared" si="3"/>
        <v>3/1996</v>
      </c>
    </row>
    <row r="28" spans="1:13" x14ac:dyDescent="0.2">
      <c r="A28" s="46" t="s">
        <v>408</v>
      </c>
      <c r="B28" s="46" t="s">
        <v>409</v>
      </c>
      <c r="C28" s="46" t="s">
        <v>410</v>
      </c>
      <c r="D28" s="46" t="s">
        <v>345</v>
      </c>
      <c r="E28" s="46" t="s">
        <v>330</v>
      </c>
      <c r="F28" s="55">
        <v>36255</v>
      </c>
      <c r="G28" s="56"/>
      <c r="H28" s="46">
        <v>40</v>
      </c>
      <c r="I28" s="57">
        <v>21.5</v>
      </c>
      <c r="J28" s="57">
        <f t="shared" si="0"/>
        <v>860</v>
      </c>
      <c r="K28" s="58" t="str">
        <f t="shared" si="1"/>
        <v>FT</v>
      </c>
      <c r="L28" s="59">
        <f t="shared" si="2"/>
        <v>1999</v>
      </c>
      <c r="M28" s="60" t="str">
        <f t="shared" si="3"/>
        <v>4/1999</v>
      </c>
    </row>
    <row r="29" spans="1:13" x14ac:dyDescent="0.2">
      <c r="A29" s="46" t="s">
        <v>411</v>
      </c>
      <c r="B29" s="46" t="s">
        <v>412</v>
      </c>
      <c r="C29" s="46" t="s">
        <v>413</v>
      </c>
      <c r="D29" s="46" t="s">
        <v>329</v>
      </c>
      <c r="E29" s="46" t="s">
        <v>363</v>
      </c>
      <c r="F29" s="55">
        <v>38302</v>
      </c>
      <c r="G29" s="56" t="s">
        <v>341</v>
      </c>
      <c r="H29" s="46">
        <v>40</v>
      </c>
      <c r="I29" s="57">
        <v>15.5</v>
      </c>
      <c r="J29" s="57">
        <f t="shared" si="0"/>
        <v>620</v>
      </c>
      <c r="K29" s="58" t="str">
        <f t="shared" si="1"/>
        <v>FT</v>
      </c>
      <c r="L29" s="59">
        <f t="shared" si="2"/>
        <v>2004</v>
      </c>
      <c r="M29" s="60" t="str">
        <f t="shared" si="3"/>
        <v>11/2004</v>
      </c>
    </row>
    <row r="30" spans="1:13" x14ac:dyDescent="0.2">
      <c r="A30" s="46" t="s">
        <v>414</v>
      </c>
      <c r="B30" s="46" t="s">
        <v>415</v>
      </c>
      <c r="C30" s="46" t="s">
        <v>416</v>
      </c>
      <c r="D30" s="46" t="s">
        <v>340</v>
      </c>
      <c r="E30" s="46" t="s">
        <v>363</v>
      </c>
      <c r="F30" s="55">
        <v>38929</v>
      </c>
      <c r="G30" s="56" t="s">
        <v>341</v>
      </c>
      <c r="H30" s="46">
        <v>32</v>
      </c>
      <c r="I30" s="57">
        <v>5.5</v>
      </c>
      <c r="J30" s="57">
        <f t="shared" si="0"/>
        <v>176</v>
      </c>
      <c r="K30" s="58" t="str">
        <f t="shared" si="1"/>
        <v>PT</v>
      </c>
      <c r="L30" s="59">
        <f t="shared" si="2"/>
        <v>2006</v>
      </c>
      <c r="M30" s="60" t="str">
        <f t="shared" si="3"/>
        <v>7/2006</v>
      </c>
    </row>
    <row r="31" spans="1:13" x14ac:dyDescent="0.2">
      <c r="A31" s="46" t="s">
        <v>417</v>
      </c>
      <c r="B31" s="46" t="s">
        <v>418</v>
      </c>
      <c r="C31" s="46" t="s">
        <v>419</v>
      </c>
      <c r="D31" s="46" t="s">
        <v>329</v>
      </c>
      <c r="E31" s="46" t="s">
        <v>330</v>
      </c>
      <c r="F31" s="55">
        <v>36834</v>
      </c>
      <c r="G31" s="56" t="s">
        <v>390</v>
      </c>
      <c r="H31" s="46">
        <v>40</v>
      </c>
      <c r="I31" s="57">
        <v>19.5</v>
      </c>
      <c r="J31" s="57">
        <f t="shared" si="0"/>
        <v>780</v>
      </c>
      <c r="K31" s="58" t="str">
        <f t="shared" si="1"/>
        <v>FT</v>
      </c>
      <c r="L31" s="59">
        <f t="shared" si="2"/>
        <v>2000</v>
      </c>
      <c r="M31" s="60" t="str">
        <f t="shared" si="3"/>
        <v>11/2000</v>
      </c>
    </row>
    <row r="32" spans="1:13" x14ac:dyDescent="0.2">
      <c r="A32" s="46" t="s">
        <v>381</v>
      </c>
      <c r="B32" s="46" t="s">
        <v>420</v>
      </c>
      <c r="C32" s="46" t="s">
        <v>421</v>
      </c>
      <c r="D32" s="46" t="s">
        <v>335</v>
      </c>
      <c r="E32" s="46" t="s">
        <v>349</v>
      </c>
      <c r="F32" s="55">
        <v>36052</v>
      </c>
      <c r="G32" s="56" t="s">
        <v>341</v>
      </c>
      <c r="H32" s="46">
        <v>40</v>
      </c>
      <c r="I32" s="57">
        <v>12.6</v>
      </c>
      <c r="J32" s="57">
        <f t="shared" si="0"/>
        <v>504</v>
      </c>
      <c r="K32" s="58" t="str">
        <f t="shared" si="1"/>
        <v>FT</v>
      </c>
      <c r="L32" s="59">
        <f t="shared" si="2"/>
        <v>1998</v>
      </c>
      <c r="M32" s="60" t="str">
        <f t="shared" si="3"/>
        <v>9/1998</v>
      </c>
    </row>
    <row r="33" spans="1:13" x14ac:dyDescent="0.2">
      <c r="A33" s="46" t="s">
        <v>134</v>
      </c>
      <c r="B33" s="46" t="s">
        <v>422</v>
      </c>
      <c r="C33" s="46" t="s">
        <v>423</v>
      </c>
      <c r="D33" s="46" t="s">
        <v>340</v>
      </c>
      <c r="E33" s="46" t="s">
        <v>353</v>
      </c>
      <c r="F33" s="55">
        <v>36386</v>
      </c>
      <c r="G33" s="56" t="s">
        <v>390</v>
      </c>
      <c r="H33" s="46">
        <v>32</v>
      </c>
      <c r="I33" s="57">
        <v>5.5</v>
      </c>
      <c r="J33" s="57">
        <f t="shared" si="0"/>
        <v>176</v>
      </c>
      <c r="K33" s="58" t="str">
        <f t="shared" si="1"/>
        <v>PT</v>
      </c>
      <c r="L33" s="59">
        <f t="shared" si="2"/>
        <v>1999</v>
      </c>
      <c r="M33" s="60" t="str">
        <f t="shared" si="3"/>
        <v>8/1999</v>
      </c>
    </row>
    <row r="34" spans="1:13" x14ac:dyDescent="0.2">
      <c r="A34" s="46" t="s">
        <v>424</v>
      </c>
      <c r="B34" s="46" t="s">
        <v>425</v>
      </c>
      <c r="C34" s="46" t="s">
        <v>426</v>
      </c>
      <c r="D34" s="46" t="s">
        <v>345</v>
      </c>
      <c r="E34" s="46" t="s">
        <v>330</v>
      </c>
      <c r="F34" s="55">
        <v>36392</v>
      </c>
      <c r="G34" s="56" t="s">
        <v>390</v>
      </c>
      <c r="H34" s="46">
        <v>40</v>
      </c>
      <c r="I34" s="57">
        <v>21.5</v>
      </c>
      <c r="J34" s="57">
        <f t="shared" si="0"/>
        <v>860</v>
      </c>
      <c r="K34" s="58" t="str">
        <f t="shared" si="1"/>
        <v>FT</v>
      </c>
      <c r="L34" s="59">
        <f t="shared" si="2"/>
        <v>1999</v>
      </c>
      <c r="M34" s="60" t="str">
        <f t="shared" si="3"/>
        <v>8/1999</v>
      </c>
    </row>
    <row r="35" spans="1:13" x14ac:dyDescent="0.2">
      <c r="A35" s="46" t="s">
        <v>427</v>
      </c>
      <c r="B35" s="46" t="s">
        <v>428</v>
      </c>
      <c r="C35" s="46" t="s">
        <v>429</v>
      </c>
      <c r="D35" s="46" t="s">
        <v>335</v>
      </c>
      <c r="E35" s="46" t="s">
        <v>363</v>
      </c>
      <c r="F35" s="55">
        <v>38330</v>
      </c>
      <c r="G35" s="56" t="s">
        <v>331</v>
      </c>
      <c r="H35" s="46">
        <v>25</v>
      </c>
      <c r="I35" s="57">
        <v>8.52</v>
      </c>
      <c r="J35" s="57">
        <f t="shared" si="0"/>
        <v>213</v>
      </c>
      <c r="K35" s="58" t="str">
        <f t="shared" si="1"/>
        <v>PT</v>
      </c>
      <c r="L35" s="59">
        <f t="shared" si="2"/>
        <v>2004</v>
      </c>
      <c r="M35" s="60" t="str">
        <f t="shared" si="3"/>
        <v>12/2004</v>
      </c>
    </row>
    <row r="36" spans="1:13" x14ac:dyDescent="0.2">
      <c r="A36" s="46" t="s">
        <v>384</v>
      </c>
      <c r="B36" s="46" t="s">
        <v>338</v>
      </c>
      <c r="C36" s="46" t="s">
        <v>430</v>
      </c>
      <c r="D36" s="46" t="s">
        <v>335</v>
      </c>
      <c r="E36" s="46" t="s">
        <v>349</v>
      </c>
      <c r="F36" s="55">
        <v>38749</v>
      </c>
      <c r="G36" s="56"/>
      <c r="H36" s="46">
        <v>35</v>
      </c>
      <c r="I36" s="57">
        <v>12.1</v>
      </c>
      <c r="J36" s="57">
        <f t="shared" si="0"/>
        <v>423.5</v>
      </c>
      <c r="K36" s="58" t="str">
        <f t="shared" si="1"/>
        <v>PT</v>
      </c>
      <c r="L36" s="59">
        <f t="shared" si="2"/>
        <v>2006</v>
      </c>
      <c r="M36" s="60" t="str">
        <f t="shared" si="3"/>
        <v>2/2006</v>
      </c>
    </row>
    <row r="37" spans="1:13" x14ac:dyDescent="0.2">
      <c r="A37" s="46" t="s">
        <v>431</v>
      </c>
      <c r="B37" s="46" t="s">
        <v>432</v>
      </c>
      <c r="C37" s="46" t="s">
        <v>433</v>
      </c>
      <c r="D37" s="46" t="s">
        <v>335</v>
      </c>
      <c r="E37" s="46" t="s">
        <v>330</v>
      </c>
      <c r="F37" s="55">
        <v>38572</v>
      </c>
      <c r="G37" s="56" t="s">
        <v>346</v>
      </c>
      <c r="H37" s="46">
        <v>35</v>
      </c>
      <c r="I37" s="57">
        <v>24</v>
      </c>
      <c r="J37" s="57">
        <f t="shared" si="0"/>
        <v>840</v>
      </c>
      <c r="K37" s="58" t="str">
        <f t="shared" si="1"/>
        <v>PT</v>
      </c>
      <c r="L37" s="59">
        <f t="shared" si="2"/>
        <v>2005</v>
      </c>
      <c r="M37" s="60" t="str">
        <f t="shared" si="3"/>
        <v>8/2005</v>
      </c>
    </row>
    <row r="38" spans="1:13" x14ac:dyDescent="0.2">
      <c r="A38" s="46" t="s">
        <v>434</v>
      </c>
      <c r="B38" s="46" t="s">
        <v>16</v>
      </c>
      <c r="C38" s="46" t="s">
        <v>435</v>
      </c>
      <c r="D38" s="46" t="s">
        <v>329</v>
      </c>
      <c r="E38" s="46" t="s">
        <v>353</v>
      </c>
      <c r="F38" s="55">
        <v>37927</v>
      </c>
      <c r="G38" s="56" t="s">
        <v>336</v>
      </c>
      <c r="H38" s="46">
        <v>40</v>
      </c>
      <c r="I38" s="57">
        <v>19.5</v>
      </c>
      <c r="J38" s="57">
        <f t="shared" si="0"/>
        <v>780</v>
      </c>
      <c r="K38" s="58" t="str">
        <f t="shared" si="1"/>
        <v>FT</v>
      </c>
      <c r="L38" s="59">
        <f t="shared" si="2"/>
        <v>2003</v>
      </c>
      <c r="M38" s="60" t="str">
        <f t="shared" si="3"/>
        <v>11/2003</v>
      </c>
    </row>
    <row r="39" spans="1:13" x14ac:dyDescent="0.2">
      <c r="A39" s="46" t="s">
        <v>436</v>
      </c>
      <c r="B39" s="46" t="s">
        <v>437</v>
      </c>
      <c r="C39" s="46" t="s">
        <v>438</v>
      </c>
      <c r="D39" s="46" t="s">
        <v>329</v>
      </c>
      <c r="E39" s="46" t="s">
        <v>330</v>
      </c>
      <c r="F39" s="55">
        <v>37581</v>
      </c>
      <c r="G39" s="56" t="s">
        <v>336</v>
      </c>
      <c r="H39" s="46">
        <v>35.5</v>
      </c>
      <c r="I39" s="57">
        <v>12.5</v>
      </c>
      <c r="J39" s="57">
        <f t="shared" si="0"/>
        <v>443.75</v>
      </c>
      <c r="K39" s="58" t="str">
        <f t="shared" si="1"/>
        <v>PT</v>
      </c>
      <c r="L39" s="59">
        <f t="shared" si="2"/>
        <v>2002</v>
      </c>
      <c r="M39" s="60" t="str">
        <f t="shared" si="3"/>
        <v>11/2002</v>
      </c>
    </row>
    <row r="40" spans="1:13" x14ac:dyDescent="0.2">
      <c r="A40" s="46" t="s">
        <v>439</v>
      </c>
      <c r="B40" s="46" t="s">
        <v>440</v>
      </c>
      <c r="C40" s="46" t="s">
        <v>441</v>
      </c>
      <c r="D40" s="46" t="s">
        <v>345</v>
      </c>
      <c r="E40" s="46" t="s">
        <v>330</v>
      </c>
      <c r="F40" s="55">
        <v>37038</v>
      </c>
      <c r="G40" s="56"/>
      <c r="H40" s="46">
        <v>40</v>
      </c>
      <c r="I40" s="57">
        <v>8.75</v>
      </c>
      <c r="J40" s="57">
        <f t="shared" si="0"/>
        <v>350</v>
      </c>
      <c r="K40" s="58" t="str">
        <f t="shared" si="1"/>
        <v>FT</v>
      </c>
      <c r="L40" s="59">
        <f t="shared" si="2"/>
        <v>2001</v>
      </c>
      <c r="M40" s="60" t="str">
        <f t="shared" si="3"/>
        <v>5/2001</v>
      </c>
    </row>
    <row r="41" spans="1:13" x14ac:dyDescent="0.2">
      <c r="A41" s="46" t="s">
        <v>436</v>
      </c>
      <c r="B41" s="46" t="s">
        <v>442</v>
      </c>
      <c r="C41" s="46" t="s">
        <v>443</v>
      </c>
      <c r="D41" s="46" t="s">
        <v>329</v>
      </c>
      <c r="E41" s="46" t="s">
        <v>349</v>
      </c>
      <c r="F41" s="55">
        <v>37504</v>
      </c>
      <c r="G41" s="56" t="s">
        <v>390</v>
      </c>
      <c r="H41" s="46">
        <v>29.5</v>
      </c>
      <c r="I41" s="57">
        <v>6.5</v>
      </c>
      <c r="J41" s="57">
        <f t="shared" si="0"/>
        <v>191.75</v>
      </c>
      <c r="K41" s="58" t="str">
        <f t="shared" si="1"/>
        <v>PT</v>
      </c>
      <c r="L41" s="59">
        <f t="shared" si="2"/>
        <v>2002</v>
      </c>
      <c r="M41" s="60" t="str">
        <f t="shared" si="3"/>
        <v>9/2002</v>
      </c>
    </row>
    <row r="42" spans="1:13" x14ac:dyDescent="0.2">
      <c r="A42" s="46" t="s">
        <v>444</v>
      </c>
      <c r="B42" s="46" t="s">
        <v>445</v>
      </c>
      <c r="C42" s="46" t="s">
        <v>446</v>
      </c>
      <c r="D42" s="46" t="s">
        <v>340</v>
      </c>
      <c r="E42" s="46" t="s">
        <v>363</v>
      </c>
      <c r="F42" s="55">
        <v>35959</v>
      </c>
      <c r="G42" s="56" t="s">
        <v>336</v>
      </c>
      <c r="H42" s="46">
        <v>38</v>
      </c>
      <c r="I42" s="57">
        <v>15.5</v>
      </c>
      <c r="J42" s="57">
        <f t="shared" si="0"/>
        <v>589</v>
      </c>
      <c r="K42" s="58" t="str">
        <f t="shared" si="1"/>
        <v>PT</v>
      </c>
      <c r="L42" s="59">
        <f t="shared" si="2"/>
        <v>1998</v>
      </c>
      <c r="M42" s="60" t="str">
        <f t="shared" si="3"/>
        <v>6/1998</v>
      </c>
    </row>
    <row r="43" spans="1:13" x14ac:dyDescent="0.2">
      <c r="A43" s="46" t="s">
        <v>447</v>
      </c>
      <c r="B43" s="46" t="s">
        <v>448</v>
      </c>
      <c r="C43" s="46" t="s">
        <v>449</v>
      </c>
      <c r="D43" s="46" t="s">
        <v>335</v>
      </c>
      <c r="E43" s="46" t="s">
        <v>349</v>
      </c>
      <c r="F43" s="55">
        <v>38210</v>
      </c>
      <c r="G43" s="56" t="s">
        <v>377</v>
      </c>
      <c r="H43" s="46">
        <v>40</v>
      </c>
      <c r="I43" s="57">
        <v>22</v>
      </c>
      <c r="J43" s="57">
        <f t="shared" si="0"/>
        <v>880</v>
      </c>
      <c r="K43" s="58" t="str">
        <f t="shared" si="1"/>
        <v>FT</v>
      </c>
      <c r="L43" s="59">
        <f t="shared" si="2"/>
        <v>2004</v>
      </c>
      <c r="M43" s="60" t="str">
        <f t="shared" si="3"/>
        <v>8/2004</v>
      </c>
    </row>
    <row r="44" spans="1:13" x14ac:dyDescent="0.2">
      <c r="A44" s="46" t="s">
        <v>450</v>
      </c>
      <c r="B44" s="46" t="s">
        <v>451</v>
      </c>
      <c r="C44" s="46" t="s">
        <v>452</v>
      </c>
      <c r="D44" s="46" t="s">
        <v>335</v>
      </c>
      <c r="E44" s="46" t="s">
        <v>349</v>
      </c>
      <c r="F44" s="55">
        <v>37560</v>
      </c>
      <c r="G44" s="56"/>
      <c r="H44" s="46">
        <v>38</v>
      </c>
      <c r="I44" s="57">
        <v>15.5</v>
      </c>
      <c r="J44" s="57">
        <f t="shared" si="0"/>
        <v>589</v>
      </c>
      <c r="K44" s="58" t="str">
        <f t="shared" si="1"/>
        <v>PT</v>
      </c>
      <c r="L44" s="59">
        <f t="shared" si="2"/>
        <v>2002</v>
      </c>
      <c r="M44" s="60" t="str">
        <f t="shared" si="3"/>
        <v>10/2002</v>
      </c>
    </row>
    <row r="45" spans="1:13" x14ac:dyDescent="0.2">
      <c r="A45" s="46" t="s">
        <v>453</v>
      </c>
      <c r="B45" s="46" t="s">
        <v>454</v>
      </c>
      <c r="C45" s="46" t="s">
        <v>455</v>
      </c>
      <c r="D45" s="46" t="s">
        <v>335</v>
      </c>
      <c r="E45" s="46" t="s">
        <v>363</v>
      </c>
      <c r="F45" s="55">
        <v>37026</v>
      </c>
      <c r="G45" s="56" t="s">
        <v>364</v>
      </c>
      <c r="H45" s="46">
        <v>40</v>
      </c>
      <c r="I45" s="57">
        <v>8.2200000000000006</v>
      </c>
      <c r="J45" s="57">
        <f t="shared" si="0"/>
        <v>328.8</v>
      </c>
      <c r="K45" s="58" t="str">
        <f t="shared" si="1"/>
        <v>FT</v>
      </c>
      <c r="L45" s="59">
        <f t="shared" si="2"/>
        <v>2001</v>
      </c>
      <c r="M45" s="60" t="str">
        <f t="shared" si="3"/>
        <v>5/2001</v>
      </c>
    </row>
    <row r="46" spans="1:13" x14ac:dyDescent="0.2">
      <c r="A46" s="46" t="s">
        <v>456</v>
      </c>
      <c r="B46" s="46" t="s">
        <v>54</v>
      </c>
      <c r="C46" s="46" t="s">
        <v>457</v>
      </c>
      <c r="D46" s="46" t="s">
        <v>329</v>
      </c>
      <c r="E46" s="46" t="s">
        <v>353</v>
      </c>
      <c r="F46" s="55">
        <v>35438</v>
      </c>
      <c r="G46" s="56"/>
      <c r="H46" s="46">
        <v>40</v>
      </c>
      <c r="I46" s="57">
        <v>19.5</v>
      </c>
      <c r="J46" s="57">
        <f t="shared" si="0"/>
        <v>780</v>
      </c>
      <c r="K46" s="58" t="str">
        <f t="shared" si="1"/>
        <v>FT</v>
      </c>
      <c r="L46" s="59">
        <f t="shared" si="2"/>
        <v>1997</v>
      </c>
      <c r="M46" s="60" t="str">
        <f t="shared" si="3"/>
        <v>1/1997</v>
      </c>
    </row>
    <row r="47" spans="1:13" x14ac:dyDescent="0.2">
      <c r="A47" s="46" t="s">
        <v>458</v>
      </c>
      <c r="B47" s="46" t="s">
        <v>459</v>
      </c>
      <c r="C47" s="46" t="s">
        <v>460</v>
      </c>
      <c r="D47" s="46" t="s">
        <v>335</v>
      </c>
      <c r="E47" s="46" t="s">
        <v>363</v>
      </c>
      <c r="F47" s="55">
        <v>36969</v>
      </c>
      <c r="G47" s="56" t="s">
        <v>377</v>
      </c>
      <c r="H47" s="46">
        <v>35</v>
      </c>
      <c r="I47" s="57">
        <v>24</v>
      </c>
      <c r="J47" s="57">
        <f t="shared" si="0"/>
        <v>840</v>
      </c>
      <c r="K47" s="58" t="str">
        <f t="shared" si="1"/>
        <v>PT</v>
      </c>
      <c r="L47" s="59">
        <f t="shared" si="2"/>
        <v>2001</v>
      </c>
      <c r="M47" s="60" t="str">
        <f t="shared" si="3"/>
        <v>3/2001</v>
      </c>
    </row>
    <row r="48" spans="1:13" x14ac:dyDescent="0.2">
      <c r="A48" s="46" t="s">
        <v>461</v>
      </c>
      <c r="B48" s="46" t="s">
        <v>462</v>
      </c>
      <c r="C48" s="46" t="s">
        <v>463</v>
      </c>
      <c r="D48" s="46" t="s">
        <v>345</v>
      </c>
      <c r="E48" s="46" t="s">
        <v>363</v>
      </c>
      <c r="F48" s="55">
        <v>37226</v>
      </c>
      <c r="G48" s="56" t="s">
        <v>364</v>
      </c>
      <c r="H48" s="46">
        <v>15.5</v>
      </c>
      <c r="I48" s="57">
        <v>6.5</v>
      </c>
      <c r="J48" s="57">
        <f t="shared" si="0"/>
        <v>100.75</v>
      </c>
      <c r="K48" s="58" t="str">
        <f t="shared" si="1"/>
        <v>PT</v>
      </c>
      <c r="L48" s="59">
        <f t="shared" si="2"/>
        <v>2001</v>
      </c>
      <c r="M48" s="60" t="str">
        <f t="shared" si="3"/>
        <v>12/2001</v>
      </c>
    </row>
    <row r="49" spans="1:13" x14ac:dyDescent="0.2">
      <c r="A49" s="46" t="s">
        <v>464</v>
      </c>
      <c r="B49" s="46" t="s">
        <v>465</v>
      </c>
      <c r="C49" s="46" t="s">
        <v>466</v>
      </c>
      <c r="D49" s="46" t="s">
        <v>335</v>
      </c>
      <c r="E49" s="46" t="s">
        <v>353</v>
      </c>
      <c r="F49" s="55">
        <v>36438</v>
      </c>
      <c r="G49" s="56" t="s">
        <v>390</v>
      </c>
      <c r="H49" s="46">
        <v>40</v>
      </c>
      <c r="I49" s="57">
        <v>22</v>
      </c>
      <c r="J49" s="57">
        <f t="shared" si="0"/>
        <v>880</v>
      </c>
      <c r="K49" s="58" t="str">
        <f t="shared" si="1"/>
        <v>FT</v>
      </c>
      <c r="L49" s="59">
        <f t="shared" si="2"/>
        <v>1999</v>
      </c>
      <c r="M49" s="60" t="str">
        <f t="shared" si="3"/>
        <v>10/1999</v>
      </c>
    </row>
    <row r="50" spans="1:13" x14ac:dyDescent="0.2">
      <c r="A50" s="46" t="s">
        <v>467</v>
      </c>
      <c r="B50" s="46" t="s">
        <v>468</v>
      </c>
      <c r="C50" s="46" t="s">
        <v>469</v>
      </c>
      <c r="D50" s="46" t="s">
        <v>335</v>
      </c>
      <c r="E50" s="46" t="s">
        <v>349</v>
      </c>
      <c r="F50" s="55">
        <v>37982</v>
      </c>
      <c r="G50" s="56" t="s">
        <v>341</v>
      </c>
      <c r="H50" s="46">
        <v>32</v>
      </c>
      <c r="I50" s="57">
        <v>5.5</v>
      </c>
      <c r="J50" s="57">
        <f t="shared" si="0"/>
        <v>176</v>
      </c>
      <c r="K50" s="58" t="str">
        <f t="shared" si="1"/>
        <v>PT</v>
      </c>
      <c r="L50" s="59">
        <f t="shared" si="2"/>
        <v>2003</v>
      </c>
      <c r="M50" s="60" t="str">
        <f t="shared" si="3"/>
        <v>12/2003</v>
      </c>
    </row>
    <row r="51" spans="1:13" x14ac:dyDescent="0.2">
      <c r="A51" s="46" t="s">
        <v>470</v>
      </c>
      <c r="B51" s="46" t="s">
        <v>471</v>
      </c>
      <c r="C51" s="46" t="s">
        <v>472</v>
      </c>
      <c r="D51" s="46" t="s">
        <v>340</v>
      </c>
      <c r="E51" s="46" t="s">
        <v>349</v>
      </c>
      <c r="F51" s="55">
        <v>36983</v>
      </c>
      <c r="G51" s="56" t="s">
        <v>346</v>
      </c>
      <c r="H51" s="46">
        <v>25</v>
      </c>
      <c r="I51" s="57">
        <v>8.52</v>
      </c>
      <c r="J51" s="57">
        <f t="shared" si="0"/>
        <v>213</v>
      </c>
      <c r="K51" s="58" t="str">
        <f t="shared" si="1"/>
        <v>PT</v>
      </c>
      <c r="L51" s="59">
        <f t="shared" si="2"/>
        <v>2001</v>
      </c>
      <c r="M51" s="60" t="str">
        <f t="shared" si="3"/>
        <v>4/2001</v>
      </c>
    </row>
    <row r="52" spans="1:13" x14ac:dyDescent="0.2">
      <c r="A52" s="46" t="s">
        <v>473</v>
      </c>
      <c r="B52" s="46" t="s">
        <v>474</v>
      </c>
      <c r="C52" s="46" t="s">
        <v>475</v>
      </c>
      <c r="D52" s="46" t="s">
        <v>340</v>
      </c>
      <c r="E52" s="46" t="s">
        <v>363</v>
      </c>
      <c r="F52" s="55">
        <v>37398</v>
      </c>
      <c r="G52" s="56" t="s">
        <v>331</v>
      </c>
      <c r="H52" s="46">
        <v>38</v>
      </c>
      <c r="I52" s="57">
        <v>15.5</v>
      </c>
      <c r="J52" s="57">
        <f t="shared" si="0"/>
        <v>589</v>
      </c>
      <c r="K52" s="58" t="str">
        <f t="shared" si="1"/>
        <v>PT</v>
      </c>
      <c r="L52" s="59">
        <f t="shared" si="2"/>
        <v>2002</v>
      </c>
      <c r="M52" s="60" t="str">
        <f t="shared" si="3"/>
        <v>5/2002</v>
      </c>
    </row>
    <row r="53" spans="1:13" x14ac:dyDescent="0.2">
      <c r="A53" s="46" t="s">
        <v>387</v>
      </c>
      <c r="B53" s="46" t="s">
        <v>476</v>
      </c>
      <c r="C53" s="46" t="s">
        <v>477</v>
      </c>
      <c r="D53" s="46" t="s">
        <v>329</v>
      </c>
      <c r="E53" s="46" t="s">
        <v>330</v>
      </c>
      <c r="F53" s="55">
        <v>37589</v>
      </c>
      <c r="G53" s="56" t="s">
        <v>341</v>
      </c>
      <c r="H53" s="46">
        <v>35.5</v>
      </c>
      <c r="I53" s="57">
        <v>12.5</v>
      </c>
      <c r="J53" s="57">
        <f t="shared" si="0"/>
        <v>443.75</v>
      </c>
      <c r="K53" s="58" t="str">
        <f t="shared" si="1"/>
        <v>PT</v>
      </c>
      <c r="L53" s="59">
        <f t="shared" si="2"/>
        <v>2002</v>
      </c>
      <c r="M53" s="60" t="str">
        <f t="shared" si="3"/>
        <v>11/2002</v>
      </c>
    </row>
    <row r="54" spans="1:13" x14ac:dyDescent="0.2">
      <c r="A54" s="46" t="s">
        <v>478</v>
      </c>
      <c r="B54" s="46" t="s">
        <v>479</v>
      </c>
      <c r="C54" s="46" t="s">
        <v>480</v>
      </c>
      <c r="D54" s="46" t="s">
        <v>345</v>
      </c>
      <c r="E54" s="46" t="s">
        <v>353</v>
      </c>
      <c r="F54" s="55">
        <v>37165</v>
      </c>
      <c r="G54" s="56" t="s">
        <v>331</v>
      </c>
      <c r="H54" s="46">
        <v>40</v>
      </c>
      <c r="I54" s="57">
        <v>21.5</v>
      </c>
      <c r="J54" s="57">
        <f t="shared" si="0"/>
        <v>860</v>
      </c>
      <c r="K54" s="58" t="str">
        <f t="shared" si="1"/>
        <v>FT</v>
      </c>
      <c r="L54" s="59">
        <f t="shared" si="2"/>
        <v>2001</v>
      </c>
      <c r="M54" s="60" t="str">
        <f t="shared" si="3"/>
        <v>10/2001</v>
      </c>
    </row>
    <row r="55" spans="1:13" x14ac:dyDescent="0.2">
      <c r="A55" s="46" t="s">
        <v>397</v>
      </c>
      <c r="B55" s="46" t="s">
        <v>481</v>
      </c>
      <c r="C55" s="46" t="s">
        <v>482</v>
      </c>
      <c r="D55" s="46" t="s">
        <v>335</v>
      </c>
      <c r="E55" s="46" t="s">
        <v>363</v>
      </c>
      <c r="F55" s="55">
        <v>36259</v>
      </c>
      <c r="G55" s="56"/>
      <c r="H55" s="46">
        <v>38</v>
      </c>
      <c r="I55" s="57">
        <v>15.5</v>
      </c>
      <c r="J55" s="57">
        <f t="shared" si="0"/>
        <v>589</v>
      </c>
      <c r="K55" s="58" t="str">
        <f t="shared" si="1"/>
        <v>PT</v>
      </c>
      <c r="L55" s="59">
        <f t="shared" si="2"/>
        <v>1999</v>
      </c>
      <c r="M55" s="60" t="str">
        <f t="shared" si="3"/>
        <v>4/1999</v>
      </c>
    </row>
    <row r="56" spans="1:13" x14ac:dyDescent="0.2">
      <c r="A56" s="46" t="s">
        <v>483</v>
      </c>
      <c r="B56" s="46" t="s">
        <v>484</v>
      </c>
      <c r="C56" s="46" t="s">
        <v>485</v>
      </c>
      <c r="D56" s="46" t="s">
        <v>329</v>
      </c>
      <c r="E56" s="46" t="s">
        <v>349</v>
      </c>
      <c r="F56" s="55">
        <v>37553</v>
      </c>
      <c r="G56" s="56" t="s">
        <v>346</v>
      </c>
      <c r="H56" s="46">
        <v>40</v>
      </c>
      <c r="I56" s="57">
        <v>21.5</v>
      </c>
      <c r="J56" s="57">
        <f t="shared" si="0"/>
        <v>860</v>
      </c>
      <c r="K56" s="58" t="str">
        <f t="shared" si="1"/>
        <v>FT</v>
      </c>
      <c r="L56" s="59">
        <f t="shared" si="2"/>
        <v>2002</v>
      </c>
      <c r="M56" s="60" t="str">
        <f t="shared" si="3"/>
        <v>10/2002</v>
      </c>
    </row>
    <row r="57" spans="1:13" x14ac:dyDescent="0.2">
      <c r="A57" s="46" t="s">
        <v>486</v>
      </c>
      <c r="B57" s="46" t="s">
        <v>487</v>
      </c>
      <c r="C57" s="46" t="s">
        <v>488</v>
      </c>
      <c r="D57" s="46" t="s">
        <v>335</v>
      </c>
      <c r="E57" s="46" t="s">
        <v>363</v>
      </c>
      <c r="F57" s="55">
        <v>36902</v>
      </c>
      <c r="G57" s="56" t="s">
        <v>346</v>
      </c>
      <c r="H57" s="46">
        <v>35</v>
      </c>
      <c r="I57" s="57">
        <v>24</v>
      </c>
      <c r="J57" s="57">
        <f t="shared" si="0"/>
        <v>840</v>
      </c>
      <c r="K57" s="58" t="str">
        <f t="shared" si="1"/>
        <v>PT</v>
      </c>
      <c r="L57" s="59">
        <f t="shared" si="2"/>
        <v>2001</v>
      </c>
      <c r="M57" s="60" t="str">
        <f t="shared" si="3"/>
        <v>1/2001</v>
      </c>
    </row>
    <row r="58" spans="1:13" x14ac:dyDescent="0.2">
      <c r="A58" s="46" t="s">
        <v>489</v>
      </c>
      <c r="B58" s="46" t="s">
        <v>490</v>
      </c>
      <c r="C58" s="46" t="s">
        <v>491</v>
      </c>
      <c r="D58" s="46" t="s">
        <v>335</v>
      </c>
      <c r="E58" s="46" t="s">
        <v>349</v>
      </c>
      <c r="F58" s="55">
        <v>37170</v>
      </c>
      <c r="G58" s="56"/>
      <c r="H58" s="46">
        <v>40</v>
      </c>
      <c r="I58" s="57">
        <v>21.5</v>
      </c>
      <c r="J58" s="57">
        <f t="shared" si="0"/>
        <v>860</v>
      </c>
      <c r="K58" s="58" t="str">
        <f t="shared" si="1"/>
        <v>FT</v>
      </c>
      <c r="L58" s="59">
        <f t="shared" si="2"/>
        <v>2001</v>
      </c>
      <c r="M58" s="60" t="str">
        <f t="shared" si="3"/>
        <v>10/2001</v>
      </c>
    </row>
    <row r="59" spans="1:13" x14ac:dyDescent="0.2">
      <c r="A59" s="46" t="s">
        <v>492</v>
      </c>
      <c r="B59" s="46" t="s">
        <v>493</v>
      </c>
      <c r="C59" s="46" t="s">
        <v>494</v>
      </c>
      <c r="D59" s="46" t="s">
        <v>340</v>
      </c>
      <c r="E59" s="46" t="s">
        <v>330</v>
      </c>
      <c r="F59" s="55">
        <v>37776</v>
      </c>
      <c r="G59" s="56"/>
      <c r="H59" s="46">
        <v>25</v>
      </c>
      <c r="I59" s="57">
        <v>8.52</v>
      </c>
      <c r="J59" s="57">
        <f t="shared" si="0"/>
        <v>213</v>
      </c>
      <c r="K59" s="58" t="str">
        <f t="shared" si="1"/>
        <v>PT</v>
      </c>
      <c r="L59" s="59">
        <f t="shared" si="2"/>
        <v>2003</v>
      </c>
      <c r="M59" s="60" t="str">
        <f t="shared" si="3"/>
        <v>6/2003</v>
      </c>
    </row>
    <row r="60" spans="1:13" x14ac:dyDescent="0.2">
      <c r="A60" s="46" t="s">
        <v>495</v>
      </c>
      <c r="B60" s="46" t="s">
        <v>496</v>
      </c>
      <c r="C60" s="46" t="s">
        <v>497</v>
      </c>
      <c r="D60" s="46" t="s">
        <v>345</v>
      </c>
      <c r="E60" s="46" t="s">
        <v>330</v>
      </c>
      <c r="F60" s="55">
        <v>38736</v>
      </c>
      <c r="G60" s="56" t="s">
        <v>341</v>
      </c>
      <c r="H60" s="46">
        <v>40</v>
      </c>
      <c r="I60" s="57">
        <v>21.5</v>
      </c>
      <c r="J60" s="57">
        <f t="shared" si="0"/>
        <v>860</v>
      </c>
      <c r="K60" s="58" t="str">
        <f t="shared" si="1"/>
        <v>FT</v>
      </c>
      <c r="L60" s="59">
        <f t="shared" si="2"/>
        <v>2006</v>
      </c>
      <c r="M60" s="60" t="str">
        <f t="shared" si="3"/>
        <v>1/2006</v>
      </c>
    </row>
    <row r="61" spans="1:13" x14ac:dyDescent="0.2">
      <c r="A61" s="46" t="s">
        <v>456</v>
      </c>
      <c r="B61" s="46" t="s">
        <v>498</v>
      </c>
      <c r="C61" s="46" t="s">
        <v>499</v>
      </c>
      <c r="D61" s="46" t="s">
        <v>335</v>
      </c>
      <c r="E61" s="46" t="s">
        <v>330</v>
      </c>
      <c r="F61" s="55">
        <v>35287</v>
      </c>
      <c r="G61" s="56" t="s">
        <v>331</v>
      </c>
      <c r="H61" s="46">
        <v>38</v>
      </c>
      <c r="I61" s="57">
        <v>15.5</v>
      </c>
      <c r="J61" s="57">
        <f t="shared" si="0"/>
        <v>589</v>
      </c>
      <c r="K61" s="58" t="str">
        <f t="shared" si="1"/>
        <v>PT</v>
      </c>
      <c r="L61" s="59">
        <f t="shared" si="2"/>
        <v>1996</v>
      </c>
      <c r="M61" s="60" t="str">
        <f t="shared" si="3"/>
        <v>8/1996</v>
      </c>
    </row>
    <row r="62" spans="1:13" x14ac:dyDescent="0.2">
      <c r="A62" s="46" t="s">
        <v>500</v>
      </c>
      <c r="B62" s="46" t="s">
        <v>501</v>
      </c>
      <c r="C62" s="46" t="s">
        <v>502</v>
      </c>
      <c r="D62" s="46" t="s">
        <v>335</v>
      </c>
      <c r="E62" s="46" t="s">
        <v>353</v>
      </c>
      <c r="F62" s="55">
        <v>38310</v>
      </c>
      <c r="G62" s="56" t="s">
        <v>364</v>
      </c>
      <c r="H62" s="46">
        <v>40</v>
      </c>
      <c r="I62" s="57">
        <v>12.6</v>
      </c>
      <c r="J62" s="57">
        <f t="shared" si="0"/>
        <v>504</v>
      </c>
      <c r="K62" s="58" t="str">
        <f t="shared" si="1"/>
        <v>FT</v>
      </c>
      <c r="L62" s="59">
        <f t="shared" si="2"/>
        <v>2004</v>
      </c>
      <c r="M62" s="60" t="str">
        <f t="shared" si="3"/>
        <v>11/2004</v>
      </c>
    </row>
    <row r="63" spans="1:13" x14ac:dyDescent="0.2">
      <c r="A63" s="46" t="s">
        <v>503</v>
      </c>
      <c r="B63" s="46" t="s">
        <v>338</v>
      </c>
      <c r="C63" s="46" t="s">
        <v>504</v>
      </c>
      <c r="D63" s="46" t="s">
        <v>329</v>
      </c>
      <c r="E63" s="46" t="s">
        <v>330</v>
      </c>
      <c r="F63" s="55">
        <v>37264</v>
      </c>
      <c r="G63" s="56" t="s">
        <v>377</v>
      </c>
      <c r="H63" s="46">
        <v>42</v>
      </c>
      <c r="I63" s="57">
        <v>16.75</v>
      </c>
      <c r="J63" s="57">
        <f t="shared" si="0"/>
        <v>703.5</v>
      </c>
      <c r="K63" s="58" t="str">
        <f t="shared" si="1"/>
        <v>FT</v>
      </c>
      <c r="L63" s="59">
        <f t="shared" si="2"/>
        <v>2002</v>
      </c>
      <c r="M63" s="60" t="str">
        <f t="shared" si="3"/>
        <v>1/2002</v>
      </c>
    </row>
    <row r="64" spans="1:13" x14ac:dyDescent="0.2">
      <c r="A64" s="46" t="s">
        <v>505</v>
      </c>
      <c r="B64" s="46" t="s">
        <v>506</v>
      </c>
      <c r="C64" s="46" t="s">
        <v>507</v>
      </c>
      <c r="D64" s="46" t="s">
        <v>345</v>
      </c>
      <c r="E64" s="46" t="s">
        <v>349</v>
      </c>
      <c r="F64" s="55">
        <v>37055</v>
      </c>
      <c r="G64" s="56" t="s">
        <v>364</v>
      </c>
      <c r="H64" s="46">
        <v>40</v>
      </c>
      <c r="I64" s="57">
        <v>8.75</v>
      </c>
      <c r="J64" s="57">
        <f t="shared" si="0"/>
        <v>350</v>
      </c>
      <c r="K64" s="58" t="str">
        <f t="shared" si="1"/>
        <v>FT</v>
      </c>
      <c r="L64" s="59">
        <f t="shared" si="2"/>
        <v>2001</v>
      </c>
      <c r="M64" s="60" t="str">
        <f t="shared" si="3"/>
        <v>6/2001</v>
      </c>
    </row>
    <row r="65" spans="1:13" x14ac:dyDescent="0.2">
      <c r="A65" s="46" t="s">
        <v>508</v>
      </c>
      <c r="B65" s="46" t="s">
        <v>509</v>
      </c>
      <c r="C65" s="46" t="s">
        <v>510</v>
      </c>
      <c r="D65" s="46" t="s">
        <v>335</v>
      </c>
      <c r="E65" s="46" t="s">
        <v>363</v>
      </c>
      <c r="F65" s="55">
        <v>37401</v>
      </c>
      <c r="G65" s="56" t="s">
        <v>346</v>
      </c>
      <c r="H65" s="46">
        <v>25</v>
      </c>
      <c r="I65" s="57">
        <v>8.52</v>
      </c>
      <c r="J65" s="57">
        <f t="shared" si="0"/>
        <v>213</v>
      </c>
      <c r="K65" s="58" t="str">
        <f t="shared" si="1"/>
        <v>PT</v>
      </c>
      <c r="L65" s="59">
        <f t="shared" si="2"/>
        <v>2002</v>
      </c>
      <c r="M65" s="60" t="str">
        <f t="shared" si="3"/>
        <v>5/2002</v>
      </c>
    </row>
    <row r="66" spans="1:13" x14ac:dyDescent="0.2">
      <c r="A66" s="46" t="s">
        <v>458</v>
      </c>
      <c r="B66" s="46" t="s">
        <v>511</v>
      </c>
      <c r="C66" s="46" t="s">
        <v>512</v>
      </c>
      <c r="D66" s="46" t="s">
        <v>345</v>
      </c>
      <c r="E66" s="46" t="s">
        <v>330</v>
      </c>
      <c r="F66" s="55">
        <v>38100</v>
      </c>
      <c r="G66" s="56"/>
      <c r="H66" s="46">
        <v>15.5</v>
      </c>
      <c r="I66" s="57">
        <v>6.5</v>
      </c>
      <c r="J66" s="57">
        <f t="shared" si="0"/>
        <v>100.75</v>
      </c>
      <c r="K66" s="58" t="str">
        <f t="shared" si="1"/>
        <v>PT</v>
      </c>
      <c r="L66" s="59">
        <f t="shared" si="2"/>
        <v>2004</v>
      </c>
      <c r="M66" s="60" t="str">
        <f t="shared" si="3"/>
        <v>4/2004</v>
      </c>
    </row>
    <row r="67" spans="1:13" x14ac:dyDescent="0.2">
      <c r="A67" s="46" t="s">
        <v>513</v>
      </c>
      <c r="B67" s="46" t="s">
        <v>514</v>
      </c>
      <c r="C67" s="46" t="s">
        <v>515</v>
      </c>
      <c r="D67" s="46" t="s">
        <v>329</v>
      </c>
      <c r="E67" s="46" t="s">
        <v>363</v>
      </c>
      <c r="F67" s="55">
        <v>35614</v>
      </c>
      <c r="G67" s="56" t="s">
        <v>364</v>
      </c>
      <c r="H67" s="46">
        <v>40</v>
      </c>
      <c r="I67" s="57">
        <v>15.5</v>
      </c>
      <c r="J67" s="57">
        <f t="shared" si="0"/>
        <v>620</v>
      </c>
      <c r="K67" s="58" t="str">
        <f t="shared" si="1"/>
        <v>FT</v>
      </c>
      <c r="L67" s="59">
        <f t="shared" si="2"/>
        <v>1997</v>
      </c>
      <c r="M67" s="60" t="str">
        <f t="shared" si="3"/>
        <v>7/1997</v>
      </c>
    </row>
    <row r="68" spans="1:13" x14ac:dyDescent="0.2">
      <c r="A68" s="46" t="s">
        <v>516</v>
      </c>
      <c r="B68" s="46" t="s">
        <v>517</v>
      </c>
      <c r="C68" s="46" t="s">
        <v>518</v>
      </c>
      <c r="D68" s="46" t="s">
        <v>345</v>
      </c>
      <c r="E68" s="46" t="s">
        <v>349</v>
      </c>
      <c r="F68" s="55">
        <v>37945</v>
      </c>
      <c r="G68" s="56" t="s">
        <v>331</v>
      </c>
      <c r="H68" s="46">
        <v>35</v>
      </c>
      <c r="I68" s="57">
        <v>12.1</v>
      </c>
      <c r="J68" s="57">
        <f t="shared" si="0"/>
        <v>423.5</v>
      </c>
      <c r="K68" s="58" t="str">
        <f t="shared" si="1"/>
        <v>PT</v>
      </c>
      <c r="L68" s="59">
        <f t="shared" si="2"/>
        <v>2003</v>
      </c>
      <c r="M68" s="60" t="str">
        <f t="shared" si="3"/>
        <v>11/2003</v>
      </c>
    </row>
    <row r="69" spans="1:13" x14ac:dyDescent="0.2">
      <c r="A69" s="46" t="s">
        <v>519</v>
      </c>
      <c r="B69" s="46" t="s">
        <v>520</v>
      </c>
      <c r="C69" s="46" t="s">
        <v>521</v>
      </c>
      <c r="D69" s="46" t="s">
        <v>345</v>
      </c>
      <c r="E69" s="46" t="s">
        <v>363</v>
      </c>
      <c r="F69" s="55">
        <v>36919</v>
      </c>
      <c r="G69" s="56" t="s">
        <v>364</v>
      </c>
      <c r="H69" s="46">
        <v>35</v>
      </c>
      <c r="I69" s="57">
        <v>24</v>
      </c>
      <c r="J69" s="57">
        <f t="shared" ref="J69:J98" si="4">H69*I69</f>
        <v>840</v>
      </c>
      <c r="K69" s="58" t="str">
        <f t="shared" si="1"/>
        <v>PT</v>
      </c>
      <c r="L69" s="59">
        <f t="shared" si="2"/>
        <v>2001</v>
      </c>
      <c r="M69" s="60" t="str">
        <f t="shared" si="3"/>
        <v>1/2001</v>
      </c>
    </row>
    <row r="70" spans="1:13" x14ac:dyDescent="0.2">
      <c r="A70" s="46" t="s">
        <v>378</v>
      </c>
      <c r="B70" s="46" t="s">
        <v>522</v>
      </c>
      <c r="C70" s="46" t="s">
        <v>523</v>
      </c>
      <c r="D70" s="46" t="s">
        <v>340</v>
      </c>
      <c r="E70" s="46" t="s">
        <v>330</v>
      </c>
      <c r="F70" s="55">
        <v>36243</v>
      </c>
      <c r="G70" s="56" t="s">
        <v>336</v>
      </c>
      <c r="H70" s="46">
        <v>35.5</v>
      </c>
      <c r="I70" s="57">
        <v>13.3</v>
      </c>
      <c r="J70" s="57">
        <f t="shared" si="4"/>
        <v>472.15000000000003</v>
      </c>
      <c r="K70" s="58" t="str">
        <f t="shared" ref="K70:K97" si="5">IF(H70&gt;=40,"FT","PT")</f>
        <v>PT</v>
      </c>
      <c r="L70" s="59">
        <f t="shared" ref="L70:L97" si="6">YEAR(F70)</f>
        <v>1999</v>
      </c>
      <c r="M70" s="60" t="str">
        <f t="shared" ref="M70:M97" si="7">MONTH(F70)&amp;"/"&amp;YEAR(F70)</f>
        <v>3/1999</v>
      </c>
    </row>
    <row r="71" spans="1:13" x14ac:dyDescent="0.2">
      <c r="A71" s="46" t="s">
        <v>524</v>
      </c>
      <c r="B71" s="46" t="s">
        <v>525</v>
      </c>
      <c r="C71" s="46" t="s">
        <v>526</v>
      </c>
      <c r="D71" s="46" t="s">
        <v>329</v>
      </c>
      <c r="E71" s="46" t="s">
        <v>363</v>
      </c>
      <c r="F71" s="55">
        <v>37593</v>
      </c>
      <c r="G71" s="56"/>
      <c r="H71" s="46">
        <v>29.5</v>
      </c>
      <c r="I71" s="57">
        <v>6.5</v>
      </c>
      <c r="J71" s="57">
        <f t="shared" si="4"/>
        <v>191.75</v>
      </c>
      <c r="K71" s="58" t="str">
        <f t="shared" si="5"/>
        <v>PT</v>
      </c>
      <c r="L71" s="59">
        <f t="shared" si="6"/>
        <v>2002</v>
      </c>
      <c r="M71" s="60" t="str">
        <f t="shared" si="7"/>
        <v>12/2002</v>
      </c>
    </row>
    <row r="72" spans="1:13" x14ac:dyDescent="0.2">
      <c r="A72" s="46" t="s">
        <v>527</v>
      </c>
      <c r="B72" s="46" t="s">
        <v>338</v>
      </c>
      <c r="C72" s="46" t="s">
        <v>528</v>
      </c>
      <c r="D72" s="46" t="s">
        <v>335</v>
      </c>
      <c r="E72" s="46" t="s">
        <v>330</v>
      </c>
      <c r="F72" s="55">
        <v>38270</v>
      </c>
      <c r="G72" s="56" t="s">
        <v>364</v>
      </c>
      <c r="H72" s="46">
        <v>40</v>
      </c>
      <c r="I72" s="57">
        <v>15.5</v>
      </c>
      <c r="J72" s="57">
        <f t="shared" si="4"/>
        <v>620</v>
      </c>
      <c r="K72" s="58" t="str">
        <f t="shared" si="5"/>
        <v>FT</v>
      </c>
      <c r="L72" s="59">
        <f t="shared" si="6"/>
        <v>2004</v>
      </c>
      <c r="M72" s="60" t="str">
        <f t="shared" si="7"/>
        <v>10/2004</v>
      </c>
    </row>
    <row r="73" spans="1:13" x14ac:dyDescent="0.2">
      <c r="A73" s="46" t="s">
        <v>529</v>
      </c>
      <c r="B73" s="46" t="s">
        <v>530</v>
      </c>
      <c r="C73" s="46" t="s">
        <v>531</v>
      </c>
      <c r="D73" s="46" t="s">
        <v>340</v>
      </c>
      <c r="E73" s="46" t="s">
        <v>349</v>
      </c>
      <c r="F73" s="55">
        <v>38786</v>
      </c>
      <c r="G73" s="56" t="s">
        <v>364</v>
      </c>
      <c r="H73" s="46">
        <v>35</v>
      </c>
      <c r="I73" s="57">
        <v>12.1</v>
      </c>
      <c r="J73" s="57">
        <f t="shared" si="4"/>
        <v>423.5</v>
      </c>
      <c r="K73" s="58" t="str">
        <f t="shared" si="5"/>
        <v>PT</v>
      </c>
      <c r="L73" s="59">
        <f t="shared" si="6"/>
        <v>2006</v>
      </c>
      <c r="M73" s="60" t="str">
        <f t="shared" si="7"/>
        <v>3/2006</v>
      </c>
    </row>
    <row r="74" spans="1:13" x14ac:dyDescent="0.2">
      <c r="A74" s="46" t="s">
        <v>412</v>
      </c>
      <c r="B74" s="46" t="s">
        <v>16</v>
      </c>
      <c r="C74" s="46" t="s">
        <v>532</v>
      </c>
      <c r="D74" s="46" t="s">
        <v>329</v>
      </c>
      <c r="E74" s="46" t="s">
        <v>353</v>
      </c>
      <c r="F74" s="55">
        <v>38314</v>
      </c>
      <c r="G74" s="56" t="s">
        <v>346</v>
      </c>
      <c r="H74" s="46">
        <v>42</v>
      </c>
      <c r="I74" s="57">
        <v>24</v>
      </c>
      <c r="J74" s="57">
        <f t="shared" si="4"/>
        <v>1008</v>
      </c>
      <c r="K74" s="58" t="str">
        <f t="shared" si="5"/>
        <v>FT</v>
      </c>
      <c r="L74" s="59">
        <f t="shared" si="6"/>
        <v>2004</v>
      </c>
      <c r="M74" s="60" t="str">
        <f t="shared" si="7"/>
        <v>11/2004</v>
      </c>
    </row>
    <row r="75" spans="1:13" x14ac:dyDescent="0.2">
      <c r="A75" s="46" t="s">
        <v>122</v>
      </c>
      <c r="B75" s="46" t="s">
        <v>533</v>
      </c>
      <c r="C75" s="46" t="s">
        <v>534</v>
      </c>
      <c r="D75" s="46" t="s">
        <v>329</v>
      </c>
      <c r="E75" s="46" t="s">
        <v>349</v>
      </c>
      <c r="F75" s="55">
        <v>38867</v>
      </c>
      <c r="G75" s="56" t="s">
        <v>346</v>
      </c>
      <c r="H75" s="46">
        <v>29.5</v>
      </c>
      <c r="I75" s="57">
        <v>13.3</v>
      </c>
      <c r="J75" s="57">
        <f t="shared" si="4"/>
        <v>392.35</v>
      </c>
      <c r="K75" s="58" t="str">
        <f t="shared" si="5"/>
        <v>PT</v>
      </c>
      <c r="L75" s="59">
        <f t="shared" si="6"/>
        <v>2006</v>
      </c>
      <c r="M75" s="60" t="str">
        <f t="shared" si="7"/>
        <v>5/2006</v>
      </c>
    </row>
    <row r="76" spans="1:13" x14ac:dyDescent="0.2">
      <c r="A76" s="46" t="s">
        <v>535</v>
      </c>
      <c r="B76" s="46" t="s">
        <v>536</v>
      </c>
      <c r="C76" s="46" t="s">
        <v>537</v>
      </c>
      <c r="D76" s="46" t="s">
        <v>329</v>
      </c>
      <c r="E76" s="46" t="s">
        <v>363</v>
      </c>
      <c r="F76" s="55">
        <v>37164</v>
      </c>
      <c r="G76" s="56" t="s">
        <v>364</v>
      </c>
      <c r="H76" s="46">
        <v>40</v>
      </c>
      <c r="I76" s="57">
        <v>6.5</v>
      </c>
      <c r="J76" s="57">
        <f t="shared" si="4"/>
        <v>260</v>
      </c>
      <c r="K76" s="58" t="str">
        <f t="shared" si="5"/>
        <v>FT</v>
      </c>
      <c r="L76" s="59">
        <f t="shared" si="6"/>
        <v>2001</v>
      </c>
      <c r="M76" s="60" t="str">
        <f t="shared" si="7"/>
        <v>9/2001</v>
      </c>
    </row>
    <row r="77" spans="1:13" x14ac:dyDescent="0.2">
      <c r="A77" s="46" t="s">
        <v>538</v>
      </c>
      <c r="B77" s="46" t="s">
        <v>17</v>
      </c>
      <c r="C77" s="46" t="s">
        <v>539</v>
      </c>
      <c r="D77" s="46" t="s">
        <v>335</v>
      </c>
      <c r="E77" s="46" t="s">
        <v>330</v>
      </c>
      <c r="F77" s="55">
        <v>36201</v>
      </c>
      <c r="G77" s="56" t="s">
        <v>364</v>
      </c>
      <c r="H77" s="46">
        <v>40</v>
      </c>
      <c r="I77" s="57">
        <v>7.22</v>
      </c>
      <c r="J77" s="57">
        <f t="shared" si="4"/>
        <v>288.8</v>
      </c>
      <c r="K77" s="58" t="str">
        <f t="shared" si="5"/>
        <v>FT</v>
      </c>
      <c r="L77" s="59">
        <f t="shared" si="6"/>
        <v>1999</v>
      </c>
      <c r="M77" s="60" t="str">
        <f t="shared" si="7"/>
        <v>2/1999</v>
      </c>
    </row>
    <row r="78" spans="1:13" x14ac:dyDescent="0.2">
      <c r="A78" s="46" t="s">
        <v>540</v>
      </c>
      <c r="B78" s="46" t="s">
        <v>343</v>
      </c>
      <c r="C78" s="46" t="s">
        <v>541</v>
      </c>
      <c r="D78" s="46" t="s">
        <v>345</v>
      </c>
      <c r="E78" s="46" t="s">
        <v>363</v>
      </c>
      <c r="F78" s="55">
        <v>35474</v>
      </c>
      <c r="G78" s="56" t="s">
        <v>331</v>
      </c>
      <c r="H78" s="46">
        <v>40</v>
      </c>
      <c r="I78" s="57">
        <v>12.1</v>
      </c>
      <c r="J78" s="57">
        <f t="shared" si="4"/>
        <v>484</v>
      </c>
      <c r="K78" s="58" t="str">
        <f t="shared" si="5"/>
        <v>FT</v>
      </c>
      <c r="L78" s="59">
        <f t="shared" si="6"/>
        <v>1997</v>
      </c>
      <c r="M78" s="60" t="str">
        <f t="shared" si="7"/>
        <v>2/1997</v>
      </c>
    </row>
    <row r="79" spans="1:13" x14ac:dyDescent="0.2">
      <c r="A79" s="46" t="s">
        <v>542</v>
      </c>
      <c r="B79" s="46" t="s">
        <v>543</v>
      </c>
      <c r="C79" s="46" t="s">
        <v>544</v>
      </c>
      <c r="D79" s="46" t="s">
        <v>329</v>
      </c>
      <c r="E79" s="46" t="s">
        <v>349</v>
      </c>
      <c r="F79" s="55">
        <v>36386</v>
      </c>
      <c r="G79" s="56" t="s">
        <v>336</v>
      </c>
      <c r="H79" s="46">
        <v>29.5</v>
      </c>
      <c r="I79" s="57">
        <v>16.75</v>
      </c>
      <c r="J79" s="57">
        <f t="shared" si="4"/>
        <v>494.125</v>
      </c>
      <c r="K79" s="58" t="str">
        <f t="shared" si="5"/>
        <v>PT</v>
      </c>
      <c r="L79" s="59">
        <f t="shared" si="6"/>
        <v>1999</v>
      </c>
      <c r="M79" s="60" t="str">
        <f t="shared" si="7"/>
        <v>8/1999</v>
      </c>
    </row>
    <row r="80" spans="1:13" x14ac:dyDescent="0.2">
      <c r="A80" s="46" t="s">
        <v>545</v>
      </c>
      <c r="B80" s="46" t="s">
        <v>546</v>
      </c>
      <c r="C80" s="46" t="s">
        <v>547</v>
      </c>
      <c r="D80" s="46" t="s">
        <v>329</v>
      </c>
      <c r="E80" s="46" t="s">
        <v>330</v>
      </c>
      <c r="F80" s="55">
        <v>38283</v>
      </c>
      <c r="G80" s="56" t="s">
        <v>331</v>
      </c>
      <c r="H80" s="46">
        <v>40</v>
      </c>
      <c r="I80" s="57">
        <v>6.5</v>
      </c>
      <c r="J80" s="57">
        <f t="shared" si="4"/>
        <v>260</v>
      </c>
      <c r="K80" s="58" t="str">
        <f t="shared" si="5"/>
        <v>FT</v>
      </c>
      <c r="L80" s="59">
        <f t="shared" si="6"/>
        <v>2004</v>
      </c>
      <c r="M80" s="60" t="str">
        <f t="shared" si="7"/>
        <v>10/2004</v>
      </c>
    </row>
    <row r="81" spans="1:13" x14ac:dyDescent="0.2">
      <c r="A81" s="46" t="s">
        <v>548</v>
      </c>
      <c r="B81" s="46" t="s">
        <v>549</v>
      </c>
      <c r="C81" s="46" t="s">
        <v>550</v>
      </c>
      <c r="D81" s="46" t="s">
        <v>345</v>
      </c>
      <c r="E81" s="46" t="s">
        <v>330</v>
      </c>
      <c r="F81" s="55">
        <v>37234</v>
      </c>
      <c r="G81" s="56" t="s">
        <v>331</v>
      </c>
      <c r="H81" s="46">
        <v>40</v>
      </c>
      <c r="I81" s="57">
        <v>19.5</v>
      </c>
      <c r="J81" s="57">
        <f t="shared" si="4"/>
        <v>780</v>
      </c>
      <c r="K81" s="58" t="str">
        <f t="shared" si="5"/>
        <v>FT</v>
      </c>
      <c r="L81" s="59">
        <f t="shared" si="6"/>
        <v>2001</v>
      </c>
      <c r="M81" s="60" t="str">
        <f t="shared" si="7"/>
        <v>12/2001</v>
      </c>
    </row>
    <row r="82" spans="1:13" x14ac:dyDescent="0.2">
      <c r="A82" s="46" t="s">
        <v>354</v>
      </c>
      <c r="B82" s="46" t="s">
        <v>71</v>
      </c>
      <c r="C82" s="46" t="s">
        <v>551</v>
      </c>
      <c r="D82" s="46" t="s">
        <v>340</v>
      </c>
      <c r="E82" s="46" t="s">
        <v>353</v>
      </c>
      <c r="F82" s="55">
        <v>38776</v>
      </c>
      <c r="G82" s="56" t="s">
        <v>390</v>
      </c>
      <c r="H82" s="46">
        <v>40</v>
      </c>
      <c r="I82" s="57">
        <v>22</v>
      </c>
      <c r="J82" s="57">
        <f t="shared" si="4"/>
        <v>880</v>
      </c>
      <c r="K82" s="58" t="str">
        <f t="shared" si="5"/>
        <v>FT</v>
      </c>
      <c r="L82" s="59">
        <f t="shared" si="6"/>
        <v>2006</v>
      </c>
      <c r="M82" s="60" t="str">
        <f t="shared" si="7"/>
        <v>2/2006</v>
      </c>
    </row>
    <row r="83" spans="1:13" x14ac:dyDescent="0.2">
      <c r="A83" s="46" t="s">
        <v>552</v>
      </c>
      <c r="B83" s="46" t="s">
        <v>553</v>
      </c>
      <c r="C83" s="46" t="s">
        <v>554</v>
      </c>
      <c r="D83" s="46" t="s">
        <v>345</v>
      </c>
      <c r="E83" s="46" t="s">
        <v>353</v>
      </c>
      <c r="F83" s="55">
        <v>36726</v>
      </c>
      <c r="G83" s="56"/>
      <c r="H83" s="46">
        <v>40</v>
      </c>
      <c r="I83" s="57">
        <v>15</v>
      </c>
      <c r="J83" s="57">
        <f t="shared" si="4"/>
        <v>600</v>
      </c>
      <c r="K83" s="58" t="str">
        <f t="shared" si="5"/>
        <v>FT</v>
      </c>
      <c r="L83" s="59">
        <f t="shared" si="6"/>
        <v>2000</v>
      </c>
      <c r="M83" s="60" t="str">
        <f t="shared" si="7"/>
        <v>7/2000</v>
      </c>
    </row>
    <row r="84" spans="1:13" x14ac:dyDescent="0.2">
      <c r="A84" s="46" t="s">
        <v>555</v>
      </c>
      <c r="B84" s="46" t="s">
        <v>556</v>
      </c>
      <c r="C84" s="46" t="s">
        <v>557</v>
      </c>
      <c r="D84" s="46" t="s">
        <v>329</v>
      </c>
      <c r="E84" s="46" t="s">
        <v>330</v>
      </c>
      <c r="F84" s="55">
        <v>40143</v>
      </c>
      <c r="G84" s="56" t="s">
        <v>341</v>
      </c>
      <c r="H84" s="46">
        <v>40</v>
      </c>
      <c r="I84" s="57">
        <v>6.5</v>
      </c>
      <c r="J84" s="57">
        <f t="shared" si="4"/>
        <v>260</v>
      </c>
      <c r="K84" s="58" t="str">
        <f t="shared" si="5"/>
        <v>FT</v>
      </c>
      <c r="L84" s="59">
        <f t="shared" si="6"/>
        <v>2009</v>
      </c>
      <c r="M84" s="60" t="str">
        <f t="shared" si="7"/>
        <v>11/2009</v>
      </c>
    </row>
    <row r="85" spans="1:13" x14ac:dyDescent="0.2">
      <c r="A85" s="46" t="s">
        <v>558</v>
      </c>
      <c r="B85" s="46" t="s">
        <v>559</v>
      </c>
      <c r="C85" s="46" t="s">
        <v>560</v>
      </c>
      <c r="D85" s="46" t="s">
        <v>345</v>
      </c>
      <c r="E85" s="46" t="s">
        <v>353</v>
      </c>
      <c r="F85" s="55">
        <v>36463</v>
      </c>
      <c r="G85" s="56" t="s">
        <v>377</v>
      </c>
      <c r="H85" s="46">
        <v>40</v>
      </c>
      <c r="I85" s="57">
        <v>15.5</v>
      </c>
      <c r="J85" s="57">
        <f t="shared" si="4"/>
        <v>620</v>
      </c>
      <c r="K85" s="58" t="str">
        <f t="shared" si="5"/>
        <v>FT</v>
      </c>
      <c r="L85" s="59">
        <f t="shared" si="6"/>
        <v>1999</v>
      </c>
      <c r="M85" s="60" t="str">
        <f t="shared" si="7"/>
        <v>10/1999</v>
      </c>
    </row>
    <row r="86" spans="1:13" x14ac:dyDescent="0.2">
      <c r="A86" s="46" t="s">
        <v>561</v>
      </c>
      <c r="B86" s="46" t="s">
        <v>562</v>
      </c>
      <c r="C86" s="46" t="s">
        <v>563</v>
      </c>
      <c r="D86" s="46" t="s">
        <v>329</v>
      </c>
      <c r="E86" s="46" t="s">
        <v>349</v>
      </c>
      <c r="F86" s="55">
        <v>38006</v>
      </c>
      <c r="G86" s="56"/>
      <c r="H86" s="46">
        <v>29.5</v>
      </c>
      <c r="I86" s="57">
        <v>15</v>
      </c>
      <c r="J86" s="57">
        <f t="shared" si="4"/>
        <v>442.5</v>
      </c>
      <c r="K86" s="58" t="str">
        <f t="shared" si="5"/>
        <v>PT</v>
      </c>
      <c r="L86" s="59">
        <f t="shared" si="6"/>
        <v>2004</v>
      </c>
      <c r="M86" s="60" t="str">
        <f t="shared" si="7"/>
        <v>1/2004</v>
      </c>
    </row>
    <row r="87" spans="1:13" x14ac:dyDescent="0.2">
      <c r="A87" s="46" t="s">
        <v>564</v>
      </c>
      <c r="B87" s="46" t="s">
        <v>565</v>
      </c>
      <c r="C87" s="46" t="s">
        <v>566</v>
      </c>
      <c r="D87" s="46" t="s">
        <v>345</v>
      </c>
      <c r="E87" s="46" t="s">
        <v>330</v>
      </c>
      <c r="F87" s="55">
        <v>35123</v>
      </c>
      <c r="G87" s="56" t="s">
        <v>377</v>
      </c>
      <c r="H87" s="46">
        <v>15.5</v>
      </c>
      <c r="I87" s="57">
        <v>12.6</v>
      </c>
      <c r="J87" s="57">
        <f t="shared" si="4"/>
        <v>195.29999999999998</v>
      </c>
      <c r="K87" s="58" t="str">
        <f t="shared" si="5"/>
        <v>PT</v>
      </c>
      <c r="L87" s="59">
        <f t="shared" si="6"/>
        <v>1996</v>
      </c>
      <c r="M87" s="60" t="str">
        <f t="shared" si="7"/>
        <v>2/1996</v>
      </c>
    </row>
    <row r="88" spans="1:13" x14ac:dyDescent="0.2">
      <c r="A88" s="46" t="s">
        <v>567</v>
      </c>
      <c r="B88" s="46" t="s">
        <v>568</v>
      </c>
      <c r="C88" s="46" t="s">
        <v>569</v>
      </c>
      <c r="D88" s="46" t="s">
        <v>335</v>
      </c>
      <c r="E88" s="46" t="s">
        <v>363</v>
      </c>
      <c r="F88" s="55">
        <v>37228</v>
      </c>
      <c r="G88" s="56" t="s">
        <v>331</v>
      </c>
      <c r="H88" s="46">
        <v>32</v>
      </c>
      <c r="I88" s="57">
        <v>8.75</v>
      </c>
      <c r="J88" s="57">
        <f t="shared" si="4"/>
        <v>280</v>
      </c>
      <c r="K88" s="58" t="str">
        <f t="shared" si="5"/>
        <v>PT</v>
      </c>
      <c r="L88" s="59">
        <f t="shared" si="6"/>
        <v>2001</v>
      </c>
      <c r="M88" s="60" t="str">
        <f t="shared" si="7"/>
        <v>12/2001</v>
      </c>
    </row>
    <row r="89" spans="1:13" x14ac:dyDescent="0.2">
      <c r="A89" s="46" t="s">
        <v>570</v>
      </c>
      <c r="B89" s="46" t="s">
        <v>571</v>
      </c>
      <c r="C89" s="46" t="s">
        <v>572</v>
      </c>
      <c r="D89" s="46" t="s">
        <v>329</v>
      </c>
      <c r="E89" s="46" t="s">
        <v>363</v>
      </c>
      <c r="F89" s="55">
        <v>38471</v>
      </c>
      <c r="G89" s="56"/>
      <c r="H89" s="46">
        <v>42</v>
      </c>
      <c r="I89" s="57">
        <v>15.5</v>
      </c>
      <c r="J89" s="57">
        <f t="shared" si="4"/>
        <v>651</v>
      </c>
      <c r="K89" s="58" t="str">
        <f t="shared" si="5"/>
        <v>FT</v>
      </c>
      <c r="L89" s="59">
        <f t="shared" si="6"/>
        <v>2005</v>
      </c>
      <c r="M89" s="60" t="str">
        <f t="shared" si="7"/>
        <v>4/2005</v>
      </c>
    </row>
    <row r="90" spans="1:13" x14ac:dyDescent="0.2">
      <c r="A90" s="46" t="s">
        <v>40</v>
      </c>
      <c r="B90" s="46" t="s">
        <v>16</v>
      </c>
      <c r="C90" s="46" t="s">
        <v>573</v>
      </c>
      <c r="D90" s="46" t="s">
        <v>340</v>
      </c>
      <c r="E90" s="46" t="s">
        <v>353</v>
      </c>
      <c r="F90" s="55">
        <v>37165</v>
      </c>
      <c r="G90" s="56" t="s">
        <v>377</v>
      </c>
      <c r="H90" s="46">
        <v>40</v>
      </c>
      <c r="I90" s="57">
        <v>15</v>
      </c>
      <c r="J90" s="57">
        <f t="shared" si="4"/>
        <v>600</v>
      </c>
      <c r="K90" s="58" t="str">
        <f t="shared" si="5"/>
        <v>FT</v>
      </c>
      <c r="L90" s="59">
        <f t="shared" si="6"/>
        <v>2001</v>
      </c>
      <c r="M90" s="60" t="str">
        <f t="shared" si="7"/>
        <v>10/2001</v>
      </c>
    </row>
    <row r="91" spans="1:13" x14ac:dyDescent="0.2">
      <c r="A91" s="46" t="s">
        <v>574</v>
      </c>
      <c r="B91" s="46" t="s">
        <v>575</v>
      </c>
      <c r="C91" s="46" t="s">
        <v>576</v>
      </c>
      <c r="D91" s="46" t="s">
        <v>335</v>
      </c>
      <c r="E91" s="46" t="s">
        <v>363</v>
      </c>
      <c r="F91" s="55">
        <v>38294</v>
      </c>
      <c r="G91" s="56" t="s">
        <v>377</v>
      </c>
      <c r="H91" s="46">
        <v>35</v>
      </c>
      <c r="I91" s="57">
        <v>12.6</v>
      </c>
      <c r="J91" s="57">
        <f t="shared" si="4"/>
        <v>441</v>
      </c>
      <c r="K91" s="58" t="str">
        <f t="shared" si="5"/>
        <v>PT</v>
      </c>
      <c r="L91" s="59">
        <f t="shared" si="6"/>
        <v>2004</v>
      </c>
      <c r="M91" s="60" t="str">
        <f t="shared" si="7"/>
        <v>11/2004</v>
      </c>
    </row>
    <row r="92" spans="1:13" x14ac:dyDescent="0.2">
      <c r="A92" s="46" t="s">
        <v>391</v>
      </c>
      <c r="B92" s="46" t="s">
        <v>577</v>
      </c>
      <c r="C92" s="46" t="s">
        <v>578</v>
      </c>
      <c r="D92" s="46" t="s">
        <v>329</v>
      </c>
      <c r="E92" s="46" t="s">
        <v>349</v>
      </c>
      <c r="F92" s="55">
        <v>34439</v>
      </c>
      <c r="G92" s="56" t="s">
        <v>341</v>
      </c>
      <c r="H92" s="46">
        <v>40</v>
      </c>
      <c r="I92" s="57">
        <v>6.5</v>
      </c>
      <c r="J92" s="57">
        <f t="shared" si="4"/>
        <v>260</v>
      </c>
      <c r="K92" s="58" t="str">
        <f t="shared" si="5"/>
        <v>FT</v>
      </c>
      <c r="L92" s="59">
        <f t="shared" si="6"/>
        <v>1994</v>
      </c>
      <c r="M92" s="60" t="str">
        <f t="shared" si="7"/>
        <v>4/1994</v>
      </c>
    </row>
    <row r="93" spans="1:13" x14ac:dyDescent="0.2">
      <c r="A93" s="46" t="s">
        <v>579</v>
      </c>
      <c r="B93" s="46" t="s">
        <v>580</v>
      </c>
      <c r="C93" s="46" t="s">
        <v>581</v>
      </c>
      <c r="D93" s="46" t="s">
        <v>335</v>
      </c>
      <c r="E93" s="46" t="s">
        <v>363</v>
      </c>
      <c r="F93" s="55">
        <v>37434</v>
      </c>
      <c r="G93" s="56" t="s">
        <v>336</v>
      </c>
      <c r="H93" s="46">
        <v>40</v>
      </c>
      <c r="I93" s="57">
        <v>6.5</v>
      </c>
      <c r="J93" s="57">
        <f t="shared" si="4"/>
        <v>260</v>
      </c>
      <c r="K93" s="58" t="str">
        <f t="shared" si="5"/>
        <v>FT</v>
      </c>
      <c r="L93" s="59">
        <f t="shared" si="6"/>
        <v>2002</v>
      </c>
      <c r="M93" s="60" t="str">
        <f t="shared" si="7"/>
        <v>6/2002</v>
      </c>
    </row>
    <row r="94" spans="1:13" x14ac:dyDescent="0.2">
      <c r="A94" s="46" t="s">
        <v>582</v>
      </c>
      <c r="B94" s="46" t="s">
        <v>583</v>
      </c>
      <c r="C94" s="46" t="s">
        <v>584</v>
      </c>
      <c r="D94" s="46" t="s">
        <v>345</v>
      </c>
      <c r="E94" s="46" t="s">
        <v>330</v>
      </c>
      <c r="F94" s="55">
        <v>37313</v>
      </c>
      <c r="G94" s="56" t="s">
        <v>346</v>
      </c>
      <c r="H94" s="46">
        <v>15.5</v>
      </c>
      <c r="I94" s="57">
        <v>5.5</v>
      </c>
      <c r="J94" s="57">
        <f t="shared" si="4"/>
        <v>85.25</v>
      </c>
      <c r="K94" s="58" t="str">
        <f t="shared" si="5"/>
        <v>PT</v>
      </c>
      <c r="L94" s="59">
        <f t="shared" si="6"/>
        <v>2002</v>
      </c>
      <c r="M94" s="60" t="str">
        <f t="shared" si="7"/>
        <v>2/2002</v>
      </c>
    </row>
    <row r="95" spans="1:13" x14ac:dyDescent="0.2">
      <c r="A95" s="46" t="s">
        <v>450</v>
      </c>
      <c r="B95" s="46" t="s">
        <v>585</v>
      </c>
      <c r="C95" s="46" t="s">
        <v>586</v>
      </c>
      <c r="D95" s="46" t="s">
        <v>345</v>
      </c>
      <c r="E95" s="46" t="s">
        <v>349</v>
      </c>
      <c r="F95" s="55">
        <v>37610</v>
      </c>
      <c r="G95" s="56" t="s">
        <v>364</v>
      </c>
      <c r="H95" s="46">
        <v>40</v>
      </c>
      <c r="I95" s="57">
        <v>16.75</v>
      </c>
      <c r="J95" s="57">
        <f t="shared" si="4"/>
        <v>670</v>
      </c>
      <c r="K95" s="58" t="str">
        <f t="shared" si="5"/>
        <v>FT</v>
      </c>
      <c r="L95" s="59">
        <f t="shared" si="6"/>
        <v>2002</v>
      </c>
      <c r="M95" s="60" t="str">
        <f t="shared" si="7"/>
        <v>12/2002</v>
      </c>
    </row>
    <row r="96" spans="1:13" x14ac:dyDescent="0.2">
      <c r="A96" s="46" t="s">
        <v>587</v>
      </c>
      <c r="B96" s="46" t="s">
        <v>588</v>
      </c>
      <c r="C96" s="46" t="s">
        <v>589</v>
      </c>
      <c r="D96" s="46" t="s">
        <v>329</v>
      </c>
      <c r="E96" s="46" t="s">
        <v>353</v>
      </c>
      <c r="F96" s="55">
        <v>36123</v>
      </c>
      <c r="G96" s="56" t="s">
        <v>331</v>
      </c>
      <c r="H96" s="46">
        <v>40</v>
      </c>
      <c r="I96" s="57">
        <v>7.22</v>
      </c>
      <c r="J96" s="57">
        <f t="shared" si="4"/>
        <v>288.8</v>
      </c>
      <c r="K96" s="58" t="str">
        <f t="shared" si="5"/>
        <v>FT</v>
      </c>
      <c r="L96" s="59">
        <f t="shared" si="6"/>
        <v>1998</v>
      </c>
      <c r="M96" s="60" t="str">
        <f t="shared" si="7"/>
        <v>11/1998</v>
      </c>
    </row>
    <row r="97" spans="1:13" x14ac:dyDescent="0.2">
      <c r="A97" s="46" t="s">
        <v>590</v>
      </c>
      <c r="B97" s="46" t="s">
        <v>343</v>
      </c>
      <c r="C97" s="46" t="s">
        <v>591</v>
      </c>
      <c r="D97" s="46" t="s">
        <v>345</v>
      </c>
      <c r="E97" s="46" t="s">
        <v>363</v>
      </c>
      <c r="F97" s="55">
        <v>38811</v>
      </c>
      <c r="G97" s="56" t="s">
        <v>346</v>
      </c>
      <c r="H97" s="46">
        <v>40</v>
      </c>
      <c r="I97" s="57">
        <v>12.1</v>
      </c>
      <c r="J97" s="57">
        <f t="shared" si="4"/>
        <v>484</v>
      </c>
      <c r="K97" s="58" t="str">
        <f t="shared" si="5"/>
        <v>FT</v>
      </c>
      <c r="L97" s="59">
        <f t="shared" si="6"/>
        <v>2006</v>
      </c>
      <c r="M97" s="60" t="str">
        <f t="shared" si="7"/>
        <v>4/2006</v>
      </c>
    </row>
    <row r="98" spans="1:13" x14ac:dyDescent="0.2">
      <c r="A98" s="46" t="s">
        <v>592</v>
      </c>
      <c r="B98" s="46" t="s">
        <v>593</v>
      </c>
      <c r="C98" s="46" t="s">
        <v>594</v>
      </c>
      <c r="D98" s="46" t="s">
        <v>345</v>
      </c>
      <c r="E98" s="46" t="s">
        <v>330</v>
      </c>
      <c r="F98" s="55">
        <v>38592</v>
      </c>
      <c r="G98" s="56"/>
      <c r="H98" s="46">
        <v>15.5</v>
      </c>
      <c r="I98" s="57">
        <v>6.5</v>
      </c>
      <c r="J98" s="57">
        <f t="shared" si="4"/>
        <v>100.75</v>
      </c>
      <c r="K98" s="58" t="s">
        <v>595</v>
      </c>
      <c r="L98" s="59" t="s">
        <v>595</v>
      </c>
      <c r="M98" s="60" t="s">
        <v>595</v>
      </c>
    </row>
    <row r="99" spans="1:13" x14ac:dyDescent="0.2">
      <c r="J99" s="57"/>
    </row>
  </sheetData>
  <pageMargins left="0.75" right="0.75" top="1" bottom="1" header="0.5" footer="0.5"/>
  <pageSetup orientation="portrait" horizontalDpi="300" verticalDpi="300" r:id="rId1"/>
  <headerFooter alignWithMargins="0">
    <oddHeader>&amp;A</oddHeader>
    <oddFooter>Page &amp;P</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2EB69-6A30-4CCC-A78D-F9A5B350C87B}">
  <sheetPr codeName="Sheet6">
    <tabColor rgb="FFFF0000"/>
  </sheetPr>
  <dimension ref="A1:Z68"/>
  <sheetViews>
    <sheetView topLeftCell="A16" zoomScaleNormal="100" workbookViewId="0">
      <selection activeCell="O21" sqref="O21"/>
    </sheetView>
  </sheetViews>
  <sheetFormatPr defaultColWidth="9.140625" defaultRowHeight="15" x14ac:dyDescent="0.25"/>
  <cols>
    <col min="1" max="1" width="10.42578125" style="38" customWidth="1"/>
    <col min="2" max="2" width="10.7109375" style="38" bestFit="1" customWidth="1"/>
    <col min="3" max="3" width="14.140625" style="38" bestFit="1" customWidth="1"/>
    <col min="4" max="4" width="15.42578125" style="38" bestFit="1" customWidth="1"/>
    <col min="5" max="5" width="14.28515625" style="38" bestFit="1" customWidth="1"/>
    <col min="6" max="6" width="12.5703125" style="38" bestFit="1" customWidth="1"/>
    <col min="7" max="7" width="5.5703125" style="38" bestFit="1" customWidth="1"/>
    <col min="8" max="9" width="15.140625" style="38" bestFit="1" customWidth="1"/>
    <col min="10" max="10" width="19.7109375" style="38" bestFit="1" customWidth="1"/>
    <col min="11" max="11" width="7.140625" style="38" bestFit="1" customWidth="1"/>
    <col min="12" max="12" width="12.7109375" style="38" bestFit="1" customWidth="1"/>
    <col min="13" max="13" width="19.5703125" style="38" bestFit="1" customWidth="1"/>
    <col min="14" max="14" width="21.5703125" style="38" bestFit="1" customWidth="1"/>
    <col min="15" max="15" width="14.28515625" style="38" bestFit="1" customWidth="1"/>
    <col min="16" max="16" width="12.5703125" style="38" bestFit="1" customWidth="1"/>
    <col min="17" max="17" width="9.85546875" style="38" bestFit="1" customWidth="1"/>
    <col min="18" max="19" width="19.5703125" style="38" bestFit="1" customWidth="1"/>
    <col min="20" max="20" width="13.7109375" style="38" bestFit="1" customWidth="1"/>
    <col min="21" max="21" width="21" style="38" bestFit="1" customWidth="1"/>
    <col min="22" max="22" width="25" style="38" bestFit="1" customWidth="1"/>
    <col min="23" max="23" width="9.7109375" style="38" bestFit="1" customWidth="1"/>
    <col min="24" max="24" width="8.7109375" style="38" bestFit="1" customWidth="1"/>
    <col min="25" max="25" width="11.5703125" style="38" bestFit="1" customWidth="1"/>
    <col min="26" max="26" width="12.5703125" style="38" bestFit="1" customWidth="1"/>
    <col min="27" max="16384" width="9.140625" style="38"/>
  </cols>
  <sheetData>
    <row r="1" spans="1:26" ht="18.75" x14ac:dyDescent="0.3">
      <c r="A1" s="37" t="s">
        <v>310</v>
      </c>
    </row>
    <row r="3" spans="1:26" x14ac:dyDescent="0.25">
      <c r="A3" s="39" t="s">
        <v>158</v>
      </c>
      <c r="B3" s="39" t="s">
        <v>159</v>
      </c>
      <c r="C3" s="39" t="s">
        <v>160</v>
      </c>
      <c r="D3" s="39" t="s">
        <v>161</v>
      </c>
      <c r="E3" s="39" t="s">
        <v>162</v>
      </c>
      <c r="F3" s="39" t="s">
        <v>163</v>
      </c>
      <c r="G3" s="39" t="s">
        <v>164</v>
      </c>
      <c r="H3" s="39" t="s">
        <v>165</v>
      </c>
      <c r="I3" s="39" t="s">
        <v>166</v>
      </c>
      <c r="J3" s="39" t="s">
        <v>167</v>
      </c>
      <c r="K3" s="39" t="s">
        <v>168</v>
      </c>
      <c r="L3" s="39" t="s">
        <v>169</v>
      </c>
      <c r="M3" s="39" t="s">
        <v>170</v>
      </c>
      <c r="N3" s="39" t="s">
        <v>171</v>
      </c>
      <c r="O3" s="39" t="s">
        <v>172</v>
      </c>
      <c r="P3" s="39" t="s">
        <v>173</v>
      </c>
      <c r="Q3" s="39" t="s">
        <v>174</v>
      </c>
      <c r="R3" s="39" t="s">
        <v>175</v>
      </c>
      <c r="S3" s="39" t="s">
        <v>176</v>
      </c>
      <c r="T3" s="39" t="s">
        <v>177</v>
      </c>
      <c r="U3" s="39" t="s">
        <v>178</v>
      </c>
      <c r="V3" s="39" t="s">
        <v>179</v>
      </c>
      <c r="W3" s="39" t="s">
        <v>180</v>
      </c>
      <c r="X3" s="39" t="s">
        <v>181</v>
      </c>
      <c r="Y3" s="39" t="s">
        <v>182</v>
      </c>
      <c r="Z3" s="39" t="s">
        <v>183</v>
      </c>
    </row>
    <row r="4" spans="1:26" x14ac:dyDescent="0.25">
      <c r="A4" s="38">
        <v>1368</v>
      </c>
      <c r="B4" s="40">
        <v>42000</v>
      </c>
      <c r="C4" s="38">
        <v>27</v>
      </c>
      <c r="D4" s="38" t="s">
        <v>184</v>
      </c>
      <c r="E4" s="38" t="s">
        <v>185</v>
      </c>
      <c r="F4" s="38" t="s">
        <v>186</v>
      </c>
      <c r="G4" s="38" t="s">
        <v>187</v>
      </c>
      <c r="H4" s="38">
        <v>99999</v>
      </c>
      <c r="I4" s="38" t="s">
        <v>188</v>
      </c>
      <c r="J4" s="38" t="s">
        <v>189</v>
      </c>
      <c r="K4" s="38" t="s">
        <v>190</v>
      </c>
      <c r="L4" s="40">
        <f>B4+2</f>
        <v>42002</v>
      </c>
      <c r="M4" s="38" t="s">
        <v>191</v>
      </c>
      <c r="N4" s="38" t="s">
        <v>192</v>
      </c>
      <c r="O4" s="38" t="s">
        <v>185</v>
      </c>
      <c r="P4" s="38" t="s">
        <v>186</v>
      </c>
      <c r="Q4" s="38" t="s">
        <v>187</v>
      </c>
      <c r="R4" s="38">
        <v>99999</v>
      </c>
      <c r="S4" s="38" t="s">
        <v>188</v>
      </c>
      <c r="T4" s="38" t="s">
        <v>193</v>
      </c>
      <c r="U4" s="38" t="s">
        <v>194</v>
      </c>
      <c r="V4" s="38" t="s">
        <v>195</v>
      </c>
      <c r="W4" s="41">
        <v>14</v>
      </c>
      <c r="X4" s="38">
        <v>19</v>
      </c>
      <c r="Y4" s="41">
        <v>266</v>
      </c>
      <c r="Z4" s="42">
        <v>25.802</v>
      </c>
    </row>
    <row r="5" spans="1:26" x14ac:dyDescent="0.25">
      <c r="A5" s="38">
        <v>1369</v>
      </c>
      <c r="B5" s="40">
        <v>42000</v>
      </c>
      <c r="C5" s="38">
        <v>27</v>
      </c>
      <c r="D5" s="38" t="s">
        <v>184</v>
      </c>
      <c r="E5" s="38" t="s">
        <v>185</v>
      </c>
      <c r="F5" s="38" t="s">
        <v>186</v>
      </c>
      <c r="G5" s="38" t="s">
        <v>187</v>
      </c>
      <c r="H5" s="38">
        <v>99999</v>
      </c>
      <c r="I5" s="38" t="s">
        <v>188</v>
      </c>
      <c r="J5" s="38" t="s">
        <v>189</v>
      </c>
      <c r="K5" s="38" t="s">
        <v>190</v>
      </c>
      <c r="L5" s="40">
        <f t="shared" ref="L5:L18" si="0">B5+2</f>
        <v>42002</v>
      </c>
      <c r="M5" s="38" t="s">
        <v>191</v>
      </c>
      <c r="N5" s="38" t="s">
        <v>192</v>
      </c>
      <c r="O5" s="38" t="s">
        <v>185</v>
      </c>
      <c r="P5" s="38" t="s">
        <v>186</v>
      </c>
      <c r="Q5" s="38" t="s">
        <v>187</v>
      </c>
      <c r="R5" s="38">
        <v>99999</v>
      </c>
      <c r="S5" s="38" t="s">
        <v>188</v>
      </c>
      <c r="T5" s="38" t="s">
        <v>193</v>
      </c>
      <c r="U5" s="38" t="s">
        <v>196</v>
      </c>
      <c r="V5" s="38" t="s">
        <v>197</v>
      </c>
      <c r="W5" s="41">
        <v>3.5</v>
      </c>
      <c r="X5" s="38">
        <v>60</v>
      </c>
      <c r="Y5" s="41">
        <v>210</v>
      </c>
      <c r="Z5" s="42">
        <v>20.16</v>
      </c>
    </row>
    <row r="6" spans="1:26" x14ac:dyDescent="0.25">
      <c r="A6" s="38">
        <v>1370</v>
      </c>
      <c r="B6" s="40">
        <v>41977</v>
      </c>
      <c r="C6" s="38">
        <v>4</v>
      </c>
      <c r="D6" s="38" t="s">
        <v>198</v>
      </c>
      <c r="E6" s="38" t="s">
        <v>199</v>
      </c>
      <c r="F6" s="38" t="s">
        <v>200</v>
      </c>
      <c r="G6" s="38" t="s">
        <v>201</v>
      </c>
      <c r="H6" s="38">
        <v>99999</v>
      </c>
      <c r="I6" s="38" t="s">
        <v>188</v>
      </c>
      <c r="J6" s="38" t="s">
        <v>202</v>
      </c>
      <c r="K6" s="38" t="s">
        <v>203</v>
      </c>
      <c r="L6" s="40">
        <f t="shared" si="0"/>
        <v>41979</v>
      </c>
      <c r="M6" s="38" t="s">
        <v>204</v>
      </c>
      <c r="N6" s="38" t="s">
        <v>205</v>
      </c>
      <c r="O6" s="38" t="s">
        <v>199</v>
      </c>
      <c r="P6" s="38" t="s">
        <v>200</v>
      </c>
      <c r="Q6" s="38" t="s">
        <v>201</v>
      </c>
      <c r="R6" s="38">
        <v>99999</v>
      </c>
      <c r="S6" s="38" t="s">
        <v>188</v>
      </c>
      <c r="T6" s="38" t="s">
        <v>206</v>
      </c>
      <c r="U6" s="38" t="s">
        <v>207</v>
      </c>
      <c r="V6" s="38" t="s">
        <v>197</v>
      </c>
      <c r="W6" s="41">
        <v>30</v>
      </c>
      <c r="X6" s="38">
        <v>81</v>
      </c>
      <c r="Y6" s="43">
        <v>2430</v>
      </c>
      <c r="Z6" s="42">
        <v>255.15</v>
      </c>
    </row>
    <row r="7" spans="1:26" x14ac:dyDescent="0.25">
      <c r="A7" s="38">
        <v>1371</v>
      </c>
      <c r="B7" s="40">
        <v>41977</v>
      </c>
      <c r="C7" s="38">
        <v>4</v>
      </c>
      <c r="D7" s="38" t="s">
        <v>198</v>
      </c>
      <c r="E7" s="38" t="s">
        <v>199</v>
      </c>
      <c r="F7" s="38" t="s">
        <v>200</v>
      </c>
      <c r="G7" s="38" t="s">
        <v>201</v>
      </c>
      <c r="H7" s="38">
        <v>99999</v>
      </c>
      <c r="I7" s="38" t="s">
        <v>188</v>
      </c>
      <c r="J7" s="38" t="s">
        <v>202</v>
      </c>
      <c r="K7" s="38" t="s">
        <v>203</v>
      </c>
      <c r="L7" s="40">
        <f t="shared" si="0"/>
        <v>41979</v>
      </c>
      <c r="M7" s="38" t="s">
        <v>204</v>
      </c>
      <c r="N7" s="38" t="s">
        <v>205</v>
      </c>
      <c r="O7" s="38" t="s">
        <v>199</v>
      </c>
      <c r="P7" s="38" t="s">
        <v>200</v>
      </c>
      <c r="Q7" s="38" t="s">
        <v>201</v>
      </c>
      <c r="R7" s="38">
        <v>99999</v>
      </c>
      <c r="S7" s="38" t="s">
        <v>188</v>
      </c>
      <c r="T7" s="38" t="s">
        <v>206</v>
      </c>
      <c r="U7" s="38" t="s">
        <v>208</v>
      </c>
      <c r="V7" s="38" t="s">
        <v>197</v>
      </c>
      <c r="W7" s="41">
        <v>53</v>
      </c>
      <c r="X7" s="38">
        <v>83</v>
      </c>
      <c r="Y7" s="43">
        <v>4399</v>
      </c>
      <c r="Z7" s="42">
        <v>461.89500000000004</v>
      </c>
    </row>
    <row r="8" spans="1:26" x14ac:dyDescent="0.25">
      <c r="A8" s="38">
        <v>1372</v>
      </c>
      <c r="B8" s="40">
        <v>41977</v>
      </c>
      <c r="C8" s="38">
        <v>4</v>
      </c>
      <c r="D8" s="38" t="s">
        <v>198</v>
      </c>
      <c r="E8" s="38" t="s">
        <v>199</v>
      </c>
      <c r="F8" s="38" t="s">
        <v>200</v>
      </c>
      <c r="G8" s="38" t="s">
        <v>201</v>
      </c>
      <c r="H8" s="38">
        <v>99999</v>
      </c>
      <c r="I8" s="38" t="s">
        <v>188</v>
      </c>
      <c r="J8" s="38" t="s">
        <v>202</v>
      </c>
      <c r="K8" s="38" t="s">
        <v>203</v>
      </c>
      <c r="L8" s="40">
        <f t="shared" si="0"/>
        <v>41979</v>
      </c>
      <c r="M8" s="38" t="s">
        <v>204</v>
      </c>
      <c r="N8" s="38" t="s">
        <v>205</v>
      </c>
      <c r="O8" s="38" t="s">
        <v>199</v>
      </c>
      <c r="P8" s="38" t="s">
        <v>200</v>
      </c>
      <c r="Q8" s="38" t="s">
        <v>201</v>
      </c>
      <c r="R8" s="38">
        <v>99999</v>
      </c>
      <c r="S8" s="38" t="s">
        <v>188</v>
      </c>
      <c r="T8" s="38" t="s">
        <v>206</v>
      </c>
      <c r="U8" s="38" t="s">
        <v>196</v>
      </c>
      <c r="V8" s="38" t="s">
        <v>197</v>
      </c>
      <c r="W8" s="41">
        <v>3.5</v>
      </c>
      <c r="X8" s="38">
        <v>75</v>
      </c>
      <c r="Y8" s="43">
        <v>262.5</v>
      </c>
      <c r="Z8" s="42">
        <v>26.25</v>
      </c>
    </row>
    <row r="9" spans="1:26" x14ac:dyDescent="0.25">
      <c r="A9" s="38">
        <v>1373</v>
      </c>
      <c r="B9" s="40">
        <v>41985</v>
      </c>
      <c r="C9" s="38">
        <v>12</v>
      </c>
      <c r="D9" s="38" t="s">
        <v>209</v>
      </c>
      <c r="E9" s="38" t="s">
        <v>210</v>
      </c>
      <c r="F9" s="38" t="s">
        <v>186</v>
      </c>
      <c r="G9" s="38" t="s">
        <v>187</v>
      </c>
      <c r="H9" s="38">
        <v>99999</v>
      </c>
      <c r="I9" s="38" t="s">
        <v>188</v>
      </c>
      <c r="J9" s="38" t="s">
        <v>189</v>
      </c>
      <c r="K9" s="38" t="s">
        <v>190</v>
      </c>
      <c r="L9" s="40">
        <f t="shared" si="0"/>
        <v>41987</v>
      </c>
      <c r="M9" s="38" t="s">
        <v>191</v>
      </c>
      <c r="N9" s="38" t="s">
        <v>211</v>
      </c>
      <c r="O9" s="38" t="s">
        <v>210</v>
      </c>
      <c r="P9" s="38" t="s">
        <v>186</v>
      </c>
      <c r="Q9" s="38" t="s">
        <v>187</v>
      </c>
      <c r="R9" s="38">
        <v>99999</v>
      </c>
      <c r="S9" s="38" t="s">
        <v>188</v>
      </c>
      <c r="T9" s="38" t="s">
        <v>206</v>
      </c>
      <c r="U9" s="38" t="s">
        <v>212</v>
      </c>
      <c r="V9" s="38" t="s">
        <v>195</v>
      </c>
      <c r="W9" s="41">
        <v>18</v>
      </c>
      <c r="X9" s="38">
        <v>97</v>
      </c>
      <c r="Y9" s="41">
        <v>1746</v>
      </c>
      <c r="Z9" s="42">
        <v>183.33000000000004</v>
      </c>
    </row>
    <row r="10" spans="1:26" x14ac:dyDescent="0.25">
      <c r="A10" s="38">
        <v>1374</v>
      </c>
      <c r="B10" s="40">
        <v>41985</v>
      </c>
      <c r="C10" s="38">
        <v>12</v>
      </c>
      <c r="D10" s="38" t="s">
        <v>209</v>
      </c>
      <c r="E10" s="38" t="s">
        <v>210</v>
      </c>
      <c r="F10" s="38" t="s">
        <v>186</v>
      </c>
      <c r="G10" s="38" t="s">
        <v>187</v>
      </c>
      <c r="H10" s="38">
        <v>99999</v>
      </c>
      <c r="I10" s="38" t="s">
        <v>188</v>
      </c>
      <c r="J10" s="38" t="s">
        <v>189</v>
      </c>
      <c r="K10" s="38" t="s">
        <v>190</v>
      </c>
      <c r="L10" s="40">
        <f t="shared" si="0"/>
        <v>41987</v>
      </c>
      <c r="M10" s="38" t="s">
        <v>191</v>
      </c>
      <c r="N10" s="38" t="s">
        <v>211</v>
      </c>
      <c r="O10" s="38" t="s">
        <v>210</v>
      </c>
      <c r="P10" s="38" t="s">
        <v>186</v>
      </c>
      <c r="Q10" s="38" t="s">
        <v>187</v>
      </c>
      <c r="R10" s="38">
        <v>99999</v>
      </c>
      <c r="S10" s="38" t="s">
        <v>188</v>
      </c>
      <c r="T10" s="38" t="s">
        <v>206</v>
      </c>
      <c r="U10" s="38" t="s">
        <v>213</v>
      </c>
      <c r="V10" s="38" t="s">
        <v>195</v>
      </c>
      <c r="W10" s="41">
        <v>46</v>
      </c>
      <c r="X10" s="38">
        <v>61</v>
      </c>
      <c r="Y10" s="41">
        <v>2806</v>
      </c>
      <c r="Z10" s="42">
        <v>291.82400000000001</v>
      </c>
    </row>
    <row r="11" spans="1:26" x14ac:dyDescent="0.25">
      <c r="A11" s="38">
        <v>1375</v>
      </c>
      <c r="B11" s="40">
        <v>41981</v>
      </c>
      <c r="C11" s="38">
        <v>8</v>
      </c>
      <c r="D11" s="38" t="s">
        <v>214</v>
      </c>
      <c r="E11" s="38" t="s">
        <v>215</v>
      </c>
      <c r="F11" s="38" t="s">
        <v>216</v>
      </c>
      <c r="G11" s="38" t="s">
        <v>217</v>
      </c>
      <c r="H11" s="38">
        <v>99999</v>
      </c>
      <c r="I11" s="38" t="s">
        <v>188</v>
      </c>
      <c r="J11" s="38" t="s">
        <v>218</v>
      </c>
      <c r="K11" s="38" t="s">
        <v>219</v>
      </c>
      <c r="L11" s="40">
        <f t="shared" si="0"/>
        <v>41983</v>
      </c>
      <c r="M11" s="38" t="s">
        <v>220</v>
      </c>
      <c r="N11" s="38" t="s">
        <v>221</v>
      </c>
      <c r="O11" s="38" t="s">
        <v>215</v>
      </c>
      <c r="P11" s="38" t="s">
        <v>216</v>
      </c>
      <c r="Q11" s="38" t="s">
        <v>217</v>
      </c>
      <c r="R11" s="38">
        <v>99999</v>
      </c>
      <c r="S11" s="38" t="s">
        <v>188</v>
      </c>
      <c r="T11" s="38" t="s">
        <v>206</v>
      </c>
      <c r="U11" s="38" t="s">
        <v>222</v>
      </c>
      <c r="V11" s="38" t="s">
        <v>223</v>
      </c>
      <c r="W11" s="41">
        <v>9.1999999999999993</v>
      </c>
      <c r="X11" s="38">
        <v>28</v>
      </c>
      <c r="Y11" s="41">
        <v>257.59999999999997</v>
      </c>
      <c r="Z11" s="42">
        <v>24.471999999999998</v>
      </c>
    </row>
    <row r="12" spans="1:26" x14ac:dyDescent="0.25">
      <c r="A12" s="38">
        <v>1376</v>
      </c>
      <c r="B12" s="40">
        <v>41977</v>
      </c>
      <c r="C12" s="38">
        <v>4</v>
      </c>
      <c r="D12" s="38" t="s">
        <v>198</v>
      </c>
      <c r="E12" s="38" t="s">
        <v>199</v>
      </c>
      <c r="F12" s="38" t="s">
        <v>200</v>
      </c>
      <c r="G12" s="38" t="s">
        <v>201</v>
      </c>
      <c r="H12" s="38">
        <v>99999</v>
      </c>
      <c r="I12" s="38" t="s">
        <v>188</v>
      </c>
      <c r="J12" s="38" t="s">
        <v>202</v>
      </c>
      <c r="K12" s="38" t="s">
        <v>203</v>
      </c>
      <c r="L12" s="40">
        <f t="shared" si="0"/>
        <v>41979</v>
      </c>
      <c r="M12" s="38" t="s">
        <v>220</v>
      </c>
      <c r="N12" s="38" t="s">
        <v>205</v>
      </c>
      <c r="O12" s="38" t="s">
        <v>199</v>
      </c>
      <c r="P12" s="38" t="s">
        <v>200</v>
      </c>
      <c r="Q12" s="38" t="s">
        <v>201</v>
      </c>
      <c r="R12" s="38">
        <v>99999</v>
      </c>
      <c r="S12" s="38" t="s">
        <v>188</v>
      </c>
      <c r="T12" s="38" t="s">
        <v>193</v>
      </c>
      <c r="U12" s="38" t="s">
        <v>222</v>
      </c>
      <c r="V12" s="38" t="s">
        <v>223</v>
      </c>
      <c r="W12" s="41">
        <v>9.1999999999999993</v>
      </c>
      <c r="X12" s="38">
        <v>97</v>
      </c>
      <c r="Y12" s="43">
        <v>892.4</v>
      </c>
      <c r="Z12" s="42">
        <v>93.702000000000012</v>
      </c>
    </row>
    <row r="13" spans="1:26" x14ac:dyDescent="0.25">
      <c r="A13" s="38">
        <v>1377</v>
      </c>
      <c r="B13" s="40">
        <v>42002</v>
      </c>
      <c r="C13" s="38">
        <v>29</v>
      </c>
      <c r="D13" s="38" t="s">
        <v>224</v>
      </c>
      <c r="E13" s="38" t="s">
        <v>225</v>
      </c>
      <c r="F13" s="38" t="s">
        <v>226</v>
      </c>
      <c r="G13" s="38" t="s">
        <v>227</v>
      </c>
      <c r="H13" s="38">
        <v>99999</v>
      </c>
      <c r="I13" s="38" t="s">
        <v>188</v>
      </c>
      <c r="J13" s="38" t="s">
        <v>228</v>
      </c>
      <c r="K13" s="38" t="s">
        <v>190</v>
      </c>
      <c r="L13" s="40">
        <f t="shared" si="0"/>
        <v>42004</v>
      </c>
      <c r="M13" s="38" t="s">
        <v>191</v>
      </c>
      <c r="N13" s="38" t="s">
        <v>229</v>
      </c>
      <c r="O13" s="38" t="s">
        <v>225</v>
      </c>
      <c r="P13" s="38" t="s">
        <v>226</v>
      </c>
      <c r="Q13" s="38" t="s">
        <v>227</v>
      </c>
      <c r="R13" s="38">
        <v>99999</v>
      </c>
      <c r="S13" s="38" t="s">
        <v>188</v>
      </c>
      <c r="T13" s="38" t="s">
        <v>193</v>
      </c>
      <c r="U13" s="38" t="s">
        <v>230</v>
      </c>
      <c r="V13" s="38" t="s">
        <v>231</v>
      </c>
      <c r="W13" s="41">
        <v>12.75</v>
      </c>
      <c r="X13" s="38">
        <v>23</v>
      </c>
      <c r="Y13" s="41">
        <v>293.25</v>
      </c>
      <c r="Z13" s="42">
        <v>29.325000000000003</v>
      </c>
    </row>
    <row r="14" spans="1:26" x14ac:dyDescent="0.25">
      <c r="A14" s="38">
        <v>1378</v>
      </c>
      <c r="B14" s="40">
        <v>41976</v>
      </c>
      <c r="C14" s="38">
        <v>3</v>
      </c>
      <c r="D14" s="38" t="s">
        <v>232</v>
      </c>
      <c r="E14" s="38" t="s">
        <v>233</v>
      </c>
      <c r="F14" s="38" t="s">
        <v>234</v>
      </c>
      <c r="G14" s="38" t="s">
        <v>235</v>
      </c>
      <c r="H14" s="38">
        <v>99999</v>
      </c>
      <c r="I14" s="38" t="s">
        <v>188</v>
      </c>
      <c r="J14" s="38" t="s">
        <v>189</v>
      </c>
      <c r="K14" s="38" t="s">
        <v>190</v>
      </c>
      <c r="L14" s="40">
        <f t="shared" si="0"/>
        <v>41978</v>
      </c>
      <c r="M14" s="38" t="s">
        <v>191</v>
      </c>
      <c r="N14" s="38" t="s">
        <v>236</v>
      </c>
      <c r="O14" s="38" t="s">
        <v>233</v>
      </c>
      <c r="P14" s="38" t="s">
        <v>234</v>
      </c>
      <c r="Q14" s="38" t="s">
        <v>235</v>
      </c>
      <c r="R14" s="38">
        <v>99999</v>
      </c>
      <c r="S14" s="38" t="s">
        <v>188</v>
      </c>
      <c r="T14" s="38" t="s">
        <v>237</v>
      </c>
      <c r="U14" s="38" t="s">
        <v>238</v>
      </c>
      <c r="V14" s="38" t="s">
        <v>239</v>
      </c>
      <c r="W14" s="41">
        <v>9.65</v>
      </c>
      <c r="X14" s="38">
        <v>89</v>
      </c>
      <c r="Y14" s="41">
        <v>858.85</v>
      </c>
      <c r="Z14" s="42">
        <v>81.59075</v>
      </c>
    </row>
    <row r="15" spans="1:26" x14ac:dyDescent="0.25">
      <c r="A15" s="38">
        <v>1379</v>
      </c>
      <c r="B15" s="40">
        <v>41979</v>
      </c>
      <c r="C15" s="38">
        <v>6</v>
      </c>
      <c r="D15" s="38" t="s">
        <v>240</v>
      </c>
      <c r="E15" s="38" t="s">
        <v>241</v>
      </c>
      <c r="F15" s="38" t="s">
        <v>242</v>
      </c>
      <c r="G15" s="38" t="s">
        <v>243</v>
      </c>
      <c r="H15" s="38">
        <v>99999</v>
      </c>
      <c r="I15" s="38" t="s">
        <v>188</v>
      </c>
      <c r="J15" s="38" t="s">
        <v>244</v>
      </c>
      <c r="K15" s="38" t="s">
        <v>219</v>
      </c>
      <c r="L15" s="40">
        <f t="shared" si="0"/>
        <v>41981</v>
      </c>
      <c r="M15" s="38" t="s">
        <v>191</v>
      </c>
      <c r="N15" s="38" t="s">
        <v>245</v>
      </c>
      <c r="O15" s="38" t="s">
        <v>241</v>
      </c>
      <c r="P15" s="38" t="s">
        <v>242</v>
      </c>
      <c r="Q15" s="38" t="s">
        <v>243</v>
      </c>
      <c r="R15" s="38">
        <v>99999</v>
      </c>
      <c r="S15" s="38" t="s">
        <v>188</v>
      </c>
      <c r="T15" s="38" t="s">
        <v>206</v>
      </c>
      <c r="U15" s="38" t="s">
        <v>246</v>
      </c>
      <c r="V15" s="38" t="s">
        <v>247</v>
      </c>
      <c r="W15" s="41">
        <v>40</v>
      </c>
      <c r="X15" s="38">
        <v>25</v>
      </c>
      <c r="Y15" s="41">
        <v>1000</v>
      </c>
      <c r="Z15" s="42">
        <v>96</v>
      </c>
    </row>
    <row r="16" spans="1:26" x14ac:dyDescent="0.25">
      <c r="A16" s="38">
        <v>1380</v>
      </c>
      <c r="B16" s="40">
        <v>42001</v>
      </c>
      <c r="C16" s="38">
        <v>28</v>
      </c>
      <c r="D16" s="38" t="s">
        <v>248</v>
      </c>
      <c r="E16" s="38" t="s">
        <v>249</v>
      </c>
      <c r="F16" s="38" t="s">
        <v>250</v>
      </c>
      <c r="G16" s="38" t="s">
        <v>251</v>
      </c>
      <c r="H16" s="38">
        <v>99999</v>
      </c>
      <c r="I16" s="38" t="s">
        <v>188</v>
      </c>
      <c r="J16" s="38" t="s">
        <v>252</v>
      </c>
      <c r="K16" s="38" t="s">
        <v>253</v>
      </c>
      <c r="L16" s="40">
        <f t="shared" si="0"/>
        <v>42003</v>
      </c>
      <c r="M16" s="38" t="s">
        <v>220</v>
      </c>
      <c r="N16" s="38" t="s">
        <v>254</v>
      </c>
      <c r="O16" s="38" t="s">
        <v>249</v>
      </c>
      <c r="P16" s="38" t="s">
        <v>250</v>
      </c>
      <c r="Q16" s="38" t="s">
        <v>251</v>
      </c>
      <c r="R16" s="38">
        <v>99999</v>
      </c>
      <c r="S16" s="38" t="s">
        <v>188</v>
      </c>
      <c r="T16" s="38" t="s">
        <v>193</v>
      </c>
      <c r="U16" s="38" t="s">
        <v>213</v>
      </c>
      <c r="V16" s="38" t="s">
        <v>195</v>
      </c>
      <c r="W16" s="41">
        <v>46</v>
      </c>
      <c r="X16" s="38">
        <v>19</v>
      </c>
      <c r="Y16" s="41">
        <v>874</v>
      </c>
      <c r="Z16" s="42">
        <v>89.14800000000001</v>
      </c>
    </row>
    <row r="17" spans="1:26" x14ac:dyDescent="0.25">
      <c r="A17" s="38">
        <v>1381</v>
      </c>
      <c r="B17" s="40">
        <v>41981</v>
      </c>
      <c r="C17" s="38">
        <v>8</v>
      </c>
      <c r="D17" s="38" t="s">
        <v>214</v>
      </c>
      <c r="E17" s="38" t="s">
        <v>215</v>
      </c>
      <c r="F17" s="38" t="s">
        <v>216</v>
      </c>
      <c r="G17" s="38" t="s">
        <v>217</v>
      </c>
      <c r="H17" s="38">
        <v>99999</v>
      </c>
      <c r="I17" s="38" t="s">
        <v>188</v>
      </c>
      <c r="J17" s="38" t="s">
        <v>218</v>
      </c>
      <c r="K17" s="38" t="s">
        <v>219</v>
      </c>
      <c r="L17" s="40">
        <f t="shared" si="0"/>
        <v>41983</v>
      </c>
      <c r="M17" s="38" t="s">
        <v>220</v>
      </c>
      <c r="N17" s="38" t="s">
        <v>221</v>
      </c>
      <c r="O17" s="38" t="s">
        <v>215</v>
      </c>
      <c r="P17" s="38" t="s">
        <v>216</v>
      </c>
      <c r="Q17" s="38" t="s">
        <v>217</v>
      </c>
      <c r="R17" s="38">
        <v>99999</v>
      </c>
      <c r="S17" s="38" t="s">
        <v>188</v>
      </c>
      <c r="T17" s="38" t="s">
        <v>193</v>
      </c>
      <c r="U17" s="38" t="s">
        <v>230</v>
      </c>
      <c r="V17" s="38" t="s">
        <v>231</v>
      </c>
      <c r="W17" s="41">
        <v>12.75</v>
      </c>
      <c r="X17" s="38">
        <v>36</v>
      </c>
      <c r="Y17" s="41">
        <v>459</v>
      </c>
      <c r="Z17" s="42">
        <v>45.441000000000003</v>
      </c>
    </row>
    <row r="18" spans="1:26" x14ac:dyDescent="0.25">
      <c r="A18" s="38">
        <v>1382</v>
      </c>
      <c r="B18" s="40">
        <v>41983</v>
      </c>
      <c r="C18" s="38">
        <v>10</v>
      </c>
      <c r="D18" s="38" t="s">
        <v>255</v>
      </c>
      <c r="E18" s="38" t="s">
        <v>256</v>
      </c>
      <c r="F18" s="38" t="s">
        <v>257</v>
      </c>
      <c r="G18" s="38" t="s">
        <v>258</v>
      </c>
      <c r="H18" s="38">
        <v>99999</v>
      </c>
      <c r="I18" s="38" t="s">
        <v>188</v>
      </c>
      <c r="J18" s="38" t="s">
        <v>259</v>
      </c>
      <c r="K18" s="38" t="s">
        <v>203</v>
      </c>
      <c r="L18" s="40">
        <f t="shared" si="0"/>
        <v>41985</v>
      </c>
      <c r="M18" s="38" t="s">
        <v>191</v>
      </c>
      <c r="N18" s="38" t="s">
        <v>260</v>
      </c>
      <c r="O18" s="38" t="s">
        <v>256</v>
      </c>
      <c r="P18" s="38" t="s">
        <v>257</v>
      </c>
      <c r="Q18" s="38" t="s">
        <v>258</v>
      </c>
      <c r="R18" s="38">
        <v>99999</v>
      </c>
      <c r="S18" s="38" t="s">
        <v>188</v>
      </c>
      <c r="T18" s="38" t="s">
        <v>206</v>
      </c>
      <c r="U18" s="38" t="s">
        <v>261</v>
      </c>
      <c r="V18" s="38" t="s">
        <v>195</v>
      </c>
      <c r="W18" s="41">
        <v>2.99</v>
      </c>
      <c r="X18" s="38">
        <v>93</v>
      </c>
      <c r="Y18" s="41">
        <v>278.07</v>
      </c>
      <c r="Z18" s="42">
        <v>26.416650000000001</v>
      </c>
    </row>
    <row r="19" spans="1:26" x14ac:dyDescent="0.25">
      <c r="A19" s="38">
        <v>1383</v>
      </c>
      <c r="B19" s="40">
        <v>41980</v>
      </c>
      <c r="C19" s="38">
        <v>7</v>
      </c>
      <c r="D19" s="38" t="s">
        <v>262</v>
      </c>
      <c r="E19" s="38" t="s">
        <v>263</v>
      </c>
      <c r="F19" s="38" t="s">
        <v>264</v>
      </c>
      <c r="G19" s="38" t="s">
        <v>265</v>
      </c>
      <c r="H19" s="38">
        <v>99999</v>
      </c>
      <c r="I19" s="38" t="s">
        <v>188</v>
      </c>
      <c r="J19" s="38" t="s">
        <v>218</v>
      </c>
      <c r="K19" s="38" t="s">
        <v>219</v>
      </c>
      <c r="N19" s="38" t="s">
        <v>266</v>
      </c>
      <c r="O19" s="38" t="s">
        <v>263</v>
      </c>
      <c r="P19" s="38" t="s">
        <v>264</v>
      </c>
      <c r="Q19" s="38" t="s">
        <v>265</v>
      </c>
      <c r="R19" s="38">
        <v>99999</v>
      </c>
      <c r="S19" s="38" t="s">
        <v>188</v>
      </c>
      <c r="U19" s="38" t="s">
        <v>213</v>
      </c>
      <c r="V19" s="38" t="s">
        <v>195</v>
      </c>
      <c r="W19" s="41">
        <v>46</v>
      </c>
      <c r="X19" s="38">
        <v>64</v>
      </c>
      <c r="Y19" s="41">
        <v>2944</v>
      </c>
      <c r="Z19" s="42">
        <v>279.68</v>
      </c>
    </row>
    <row r="20" spans="1:26" x14ac:dyDescent="0.25">
      <c r="A20" s="38">
        <v>1384</v>
      </c>
      <c r="B20" s="40">
        <v>41983</v>
      </c>
      <c r="C20" s="38">
        <v>10</v>
      </c>
      <c r="D20" s="38" t="s">
        <v>255</v>
      </c>
      <c r="E20" s="38" t="s">
        <v>256</v>
      </c>
      <c r="F20" s="38" t="s">
        <v>257</v>
      </c>
      <c r="G20" s="38" t="s">
        <v>258</v>
      </c>
      <c r="H20" s="38">
        <v>99999</v>
      </c>
      <c r="I20" s="38" t="s">
        <v>188</v>
      </c>
      <c r="J20" s="38" t="s">
        <v>259</v>
      </c>
      <c r="K20" s="38" t="s">
        <v>203</v>
      </c>
      <c r="L20" s="40">
        <f>B20+2</f>
        <v>41985</v>
      </c>
      <c r="M20" s="38" t="s">
        <v>204</v>
      </c>
      <c r="N20" s="38" t="s">
        <v>260</v>
      </c>
      <c r="O20" s="38" t="s">
        <v>256</v>
      </c>
      <c r="P20" s="38" t="s">
        <v>257</v>
      </c>
      <c r="Q20" s="38" t="s">
        <v>258</v>
      </c>
      <c r="R20" s="38">
        <v>99999</v>
      </c>
      <c r="S20" s="38" t="s">
        <v>188</v>
      </c>
      <c r="U20" s="38" t="s">
        <v>267</v>
      </c>
      <c r="V20" s="38" t="s">
        <v>268</v>
      </c>
      <c r="W20" s="41">
        <v>25</v>
      </c>
      <c r="X20" s="38">
        <v>84</v>
      </c>
      <c r="Y20" s="41">
        <v>2100</v>
      </c>
      <c r="Z20" s="42">
        <v>220.5</v>
      </c>
    </row>
    <row r="21" spans="1:26" x14ac:dyDescent="0.25">
      <c r="A21" s="38">
        <v>1385</v>
      </c>
      <c r="B21" s="40">
        <v>41983</v>
      </c>
      <c r="C21" s="38">
        <v>10</v>
      </c>
      <c r="D21" s="38" t="s">
        <v>255</v>
      </c>
      <c r="E21" s="38" t="s">
        <v>256</v>
      </c>
      <c r="F21" s="38" t="s">
        <v>257</v>
      </c>
      <c r="G21" s="38" t="s">
        <v>258</v>
      </c>
      <c r="H21" s="38">
        <v>99999</v>
      </c>
      <c r="I21" s="38" t="s">
        <v>188</v>
      </c>
      <c r="J21" s="38" t="s">
        <v>259</v>
      </c>
      <c r="K21" s="38" t="s">
        <v>203</v>
      </c>
      <c r="L21" s="40">
        <f>B21+2</f>
        <v>41985</v>
      </c>
      <c r="M21" s="38" t="s">
        <v>204</v>
      </c>
      <c r="N21" s="38" t="s">
        <v>260</v>
      </c>
      <c r="O21" s="38" t="s">
        <v>256</v>
      </c>
      <c r="P21" s="38" t="s">
        <v>257</v>
      </c>
      <c r="Q21" s="38" t="s">
        <v>258</v>
      </c>
      <c r="R21" s="38">
        <v>99999</v>
      </c>
      <c r="S21" s="38" t="s">
        <v>188</v>
      </c>
      <c r="U21" s="38" t="s">
        <v>269</v>
      </c>
      <c r="V21" s="38" t="s">
        <v>270</v>
      </c>
      <c r="W21" s="41">
        <v>22</v>
      </c>
      <c r="X21" s="38">
        <v>72</v>
      </c>
      <c r="Y21" s="41">
        <v>1584</v>
      </c>
      <c r="Z21" s="42">
        <v>150.47999999999999</v>
      </c>
    </row>
    <row r="22" spans="1:26" x14ac:dyDescent="0.25">
      <c r="A22" s="38">
        <v>1386</v>
      </c>
      <c r="B22" s="40">
        <v>41983</v>
      </c>
      <c r="C22" s="38">
        <v>10</v>
      </c>
      <c r="D22" s="38" t="s">
        <v>255</v>
      </c>
      <c r="E22" s="38" t="s">
        <v>256</v>
      </c>
      <c r="F22" s="38" t="s">
        <v>257</v>
      </c>
      <c r="G22" s="38" t="s">
        <v>258</v>
      </c>
      <c r="H22" s="38">
        <v>99999</v>
      </c>
      <c r="I22" s="38" t="s">
        <v>188</v>
      </c>
      <c r="J22" s="38" t="s">
        <v>259</v>
      </c>
      <c r="K22" s="38" t="s">
        <v>203</v>
      </c>
      <c r="L22" s="40">
        <f>B22+2</f>
        <v>41985</v>
      </c>
      <c r="M22" s="38" t="s">
        <v>204</v>
      </c>
      <c r="N22" s="38" t="s">
        <v>260</v>
      </c>
      <c r="O22" s="38" t="s">
        <v>256</v>
      </c>
      <c r="P22" s="38" t="s">
        <v>257</v>
      </c>
      <c r="Q22" s="38" t="s">
        <v>258</v>
      </c>
      <c r="R22" s="38">
        <v>99999</v>
      </c>
      <c r="S22" s="38" t="s">
        <v>188</v>
      </c>
      <c r="U22" s="38" t="s">
        <v>222</v>
      </c>
      <c r="V22" s="38" t="s">
        <v>223</v>
      </c>
      <c r="W22" s="41">
        <v>9.1999999999999993</v>
      </c>
      <c r="X22" s="38">
        <v>60</v>
      </c>
      <c r="Y22" s="41">
        <v>552</v>
      </c>
      <c r="Z22" s="42">
        <v>56.856000000000002</v>
      </c>
    </row>
    <row r="23" spans="1:26" x14ac:dyDescent="0.25">
      <c r="A23" s="38">
        <v>1387</v>
      </c>
      <c r="B23" s="40">
        <v>41984</v>
      </c>
      <c r="C23" s="38">
        <v>11</v>
      </c>
      <c r="D23" s="38" t="s">
        <v>271</v>
      </c>
      <c r="E23" s="38" t="s">
        <v>272</v>
      </c>
      <c r="F23" s="38" t="s">
        <v>273</v>
      </c>
      <c r="G23" s="38" t="s">
        <v>274</v>
      </c>
      <c r="H23" s="38">
        <v>99999</v>
      </c>
      <c r="I23" s="38" t="s">
        <v>188</v>
      </c>
      <c r="J23" s="38" t="s">
        <v>252</v>
      </c>
      <c r="K23" s="38" t="s">
        <v>253</v>
      </c>
      <c r="M23" s="38" t="s">
        <v>220</v>
      </c>
      <c r="N23" s="38" t="s">
        <v>275</v>
      </c>
      <c r="O23" s="38" t="s">
        <v>272</v>
      </c>
      <c r="P23" s="38" t="s">
        <v>273</v>
      </c>
      <c r="Q23" s="38" t="s">
        <v>274</v>
      </c>
      <c r="R23" s="38">
        <v>99999</v>
      </c>
      <c r="S23" s="38" t="s">
        <v>188</v>
      </c>
      <c r="U23" s="38" t="s">
        <v>196</v>
      </c>
      <c r="V23" s="38" t="s">
        <v>197</v>
      </c>
      <c r="W23" s="41">
        <v>3.5</v>
      </c>
      <c r="X23" s="38">
        <v>67</v>
      </c>
      <c r="Y23" s="41">
        <v>234.5</v>
      </c>
      <c r="Z23" s="42">
        <v>22.746500000000001</v>
      </c>
    </row>
    <row r="24" spans="1:26" x14ac:dyDescent="0.25">
      <c r="A24" s="38">
        <v>1388</v>
      </c>
      <c r="B24" s="40">
        <v>41984</v>
      </c>
      <c r="C24" s="38">
        <v>11</v>
      </c>
      <c r="D24" s="38" t="s">
        <v>271</v>
      </c>
      <c r="E24" s="38" t="s">
        <v>272</v>
      </c>
      <c r="F24" s="38" t="s">
        <v>273</v>
      </c>
      <c r="G24" s="38" t="s">
        <v>274</v>
      </c>
      <c r="H24" s="38">
        <v>99999</v>
      </c>
      <c r="I24" s="38" t="s">
        <v>188</v>
      </c>
      <c r="J24" s="38" t="s">
        <v>252</v>
      </c>
      <c r="K24" s="38" t="s">
        <v>253</v>
      </c>
      <c r="M24" s="38" t="s">
        <v>220</v>
      </c>
      <c r="N24" s="38" t="s">
        <v>275</v>
      </c>
      <c r="O24" s="38" t="s">
        <v>272</v>
      </c>
      <c r="P24" s="38" t="s">
        <v>273</v>
      </c>
      <c r="Q24" s="38" t="s">
        <v>274</v>
      </c>
      <c r="R24" s="38">
        <v>99999</v>
      </c>
      <c r="S24" s="38" t="s">
        <v>188</v>
      </c>
      <c r="U24" s="38" t="s">
        <v>261</v>
      </c>
      <c r="V24" s="38" t="s">
        <v>195</v>
      </c>
      <c r="W24" s="41">
        <v>2.99</v>
      </c>
      <c r="X24" s="38">
        <v>48</v>
      </c>
      <c r="Y24" s="41">
        <v>143.52000000000001</v>
      </c>
      <c r="Z24" s="42">
        <v>13.634400000000001</v>
      </c>
    </row>
    <row r="25" spans="1:26" x14ac:dyDescent="0.25">
      <c r="A25" s="38">
        <v>1389</v>
      </c>
      <c r="B25" s="40">
        <v>41974</v>
      </c>
      <c r="C25" s="38">
        <v>1</v>
      </c>
      <c r="D25" s="38" t="s">
        <v>276</v>
      </c>
      <c r="E25" s="38" t="s">
        <v>277</v>
      </c>
      <c r="F25" s="38" t="s">
        <v>278</v>
      </c>
      <c r="G25" s="38" t="s">
        <v>279</v>
      </c>
      <c r="H25" s="38">
        <v>99999</v>
      </c>
      <c r="I25" s="38" t="s">
        <v>188</v>
      </c>
      <c r="J25" s="38" t="s">
        <v>218</v>
      </c>
      <c r="K25" s="38" t="s">
        <v>219</v>
      </c>
      <c r="N25" s="38" t="s">
        <v>280</v>
      </c>
      <c r="O25" s="38" t="s">
        <v>277</v>
      </c>
      <c r="P25" s="38" t="s">
        <v>278</v>
      </c>
      <c r="Q25" s="38" t="s">
        <v>279</v>
      </c>
      <c r="R25" s="38">
        <v>99999</v>
      </c>
      <c r="S25" s="38" t="s">
        <v>188</v>
      </c>
      <c r="U25" s="38" t="s">
        <v>212</v>
      </c>
      <c r="V25" s="38" t="s">
        <v>195</v>
      </c>
      <c r="W25" s="41">
        <v>18</v>
      </c>
      <c r="X25" s="38">
        <v>64</v>
      </c>
      <c r="Y25" s="41">
        <v>1152</v>
      </c>
      <c r="Z25" s="42">
        <v>118.65600000000001</v>
      </c>
    </row>
    <row r="26" spans="1:26" x14ac:dyDescent="0.25">
      <c r="A26" s="38">
        <v>1390</v>
      </c>
      <c r="B26" s="40">
        <v>41974</v>
      </c>
      <c r="C26" s="38">
        <v>1</v>
      </c>
      <c r="D26" s="38" t="s">
        <v>276</v>
      </c>
      <c r="E26" s="38" t="s">
        <v>277</v>
      </c>
      <c r="F26" s="38" t="s">
        <v>278</v>
      </c>
      <c r="G26" s="38" t="s">
        <v>279</v>
      </c>
      <c r="H26" s="38">
        <v>99999</v>
      </c>
      <c r="I26" s="38" t="s">
        <v>188</v>
      </c>
      <c r="J26" s="38" t="s">
        <v>218</v>
      </c>
      <c r="K26" s="38" t="s">
        <v>219</v>
      </c>
      <c r="N26" s="38" t="s">
        <v>280</v>
      </c>
      <c r="O26" s="38" t="s">
        <v>277</v>
      </c>
      <c r="P26" s="38" t="s">
        <v>278</v>
      </c>
      <c r="Q26" s="38" t="s">
        <v>279</v>
      </c>
      <c r="R26" s="38">
        <v>99999</v>
      </c>
      <c r="S26" s="38" t="s">
        <v>188</v>
      </c>
      <c r="U26" s="38" t="s">
        <v>213</v>
      </c>
      <c r="V26" s="38" t="s">
        <v>195</v>
      </c>
      <c r="W26" s="41">
        <v>46</v>
      </c>
      <c r="X26" s="38">
        <v>82</v>
      </c>
      <c r="Y26" s="41">
        <v>3772</v>
      </c>
      <c r="Z26" s="42">
        <v>392.28800000000007</v>
      </c>
    </row>
    <row r="27" spans="1:26" x14ac:dyDescent="0.25">
      <c r="A27" s="38">
        <v>1391</v>
      </c>
      <c r="B27" s="40">
        <v>41974</v>
      </c>
      <c r="C27" s="38">
        <v>1</v>
      </c>
      <c r="D27" s="38" t="s">
        <v>276</v>
      </c>
      <c r="E27" s="38" t="s">
        <v>277</v>
      </c>
      <c r="F27" s="38" t="s">
        <v>278</v>
      </c>
      <c r="G27" s="38" t="s">
        <v>279</v>
      </c>
      <c r="H27" s="38">
        <v>99999</v>
      </c>
      <c r="I27" s="38" t="s">
        <v>188</v>
      </c>
      <c r="J27" s="38" t="s">
        <v>218</v>
      </c>
      <c r="K27" s="38" t="s">
        <v>219</v>
      </c>
      <c r="N27" s="38" t="s">
        <v>280</v>
      </c>
      <c r="O27" s="38" t="s">
        <v>277</v>
      </c>
      <c r="P27" s="38" t="s">
        <v>278</v>
      </c>
      <c r="Q27" s="38" t="s">
        <v>279</v>
      </c>
      <c r="R27" s="38">
        <v>99999</v>
      </c>
      <c r="S27" s="38" t="s">
        <v>188</v>
      </c>
      <c r="U27" s="38" t="s">
        <v>261</v>
      </c>
      <c r="V27" s="38" t="s">
        <v>195</v>
      </c>
      <c r="W27" s="41">
        <v>2.99</v>
      </c>
      <c r="X27" s="38">
        <v>17</v>
      </c>
      <c r="Y27" s="41">
        <v>50.830000000000005</v>
      </c>
      <c r="Z27" s="42">
        <v>5.1338300000000014</v>
      </c>
    </row>
    <row r="28" spans="1:26" x14ac:dyDescent="0.25">
      <c r="A28" s="38">
        <v>1392</v>
      </c>
      <c r="B28" s="40">
        <v>42001</v>
      </c>
      <c r="C28" s="38">
        <v>28</v>
      </c>
      <c r="D28" s="38" t="s">
        <v>248</v>
      </c>
      <c r="E28" s="38" t="s">
        <v>249</v>
      </c>
      <c r="F28" s="38" t="s">
        <v>250</v>
      </c>
      <c r="G28" s="38" t="s">
        <v>251</v>
      </c>
      <c r="H28" s="38">
        <v>99999</v>
      </c>
      <c r="I28" s="38" t="s">
        <v>188</v>
      </c>
      <c r="J28" s="38" t="s">
        <v>252</v>
      </c>
      <c r="K28" s="38" t="s">
        <v>253</v>
      </c>
      <c r="L28" s="40">
        <f t="shared" ref="L28:L53" si="1">B28+2</f>
        <v>42003</v>
      </c>
      <c r="M28" s="38" t="s">
        <v>220</v>
      </c>
      <c r="N28" s="38" t="s">
        <v>254</v>
      </c>
      <c r="O28" s="38" t="s">
        <v>249</v>
      </c>
      <c r="P28" s="38" t="s">
        <v>250</v>
      </c>
      <c r="Q28" s="38" t="s">
        <v>251</v>
      </c>
      <c r="R28" s="38">
        <v>99999</v>
      </c>
      <c r="S28" s="38" t="s">
        <v>188</v>
      </c>
      <c r="T28" s="38" t="s">
        <v>206</v>
      </c>
      <c r="U28" s="38" t="s">
        <v>238</v>
      </c>
      <c r="V28" s="38" t="s">
        <v>239</v>
      </c>
      <c r="W28" s="41">
        <v>9.65</v>
      </c>
      <c r="X28" s="38">
        <v>38</v>
      </c>
      <c r="Y28" s="41">
        <v>366.7</v>
      </c>
      <c r="Z28" s="42">
        <v>36.67</v>
      </c>
    </row>
    <row r="29" spans="1:26" x14ac:dyDescent="0.25">
      <c r="A29" s="38">
        <v>1393</v>
      </c>
      <c r="B29" s="40">
        <v>42001</v>
      </c>
      <c r="C29" s="38">
        <v>28</v>
      </c>
      <c r="D29" s="38" t="s">
        <v>248</v>
      </c>
      <c r="E29" s="38" t="s">
        <v>249</v>
      </c>
      <c r="F29" s="38" t="s">
        <v>250</v>
      </c>
      <c r="G29" s="38" t="s">
        <v>251</v>
      </c>
      <c r="H29" s="38">
        <v>99999</v>
      </c>
      <c r="I29" s="38" t="s">
        <v>188</v>
      </c>
      <c r="J29" s="38" t="s">
        <v>252</v>
      </c>
      <c r="K29" s="38" t="s">
        <v>253</v>
      </c>
      <c r="L29" s="40">
        <f t="shared" si="1"/>
        <v>42003</v>
      </c>
      <c r="M29" s="38" t="s">
        <v>220</v>
      </c>
      <c r="N29" s="38" t="s">
        <v>254</v>
      </c>
      <c r="O29" s="38" t="s">
        <v>249</v>
      </c>
      <c r="P29" s="38" t="s">
        <v>250</v>
      </c>
      <c r="Q29" s="38" t="s">
        <v>251</v>
      </c>
      <c r="R29" s="38">
        <v>99999</v>
      </c>
      <c r="S29" s="38" t="s">
        <v>188</v>
      </c>
      <c r="T29" s="38" t="s">
        <v>206</v>
      </c>
      <c r="U29" s="38" t="s">
        <v>281</v>
      </c>
      <c r="V29" s="38" t="s">
        <v>282</v>
      </c>
      <c r="W29" s="41">
        <v>18.399999999999999</v>
      </c>
      <c r="X29" s="38">
        <v>25</v>
      </c>
      <c r="Y29" s="41">
        <v>459.99999999999994</v>
      </c>
      <c r="Z29" s="42">
        <v>45.54</v>
      </c>
    </row>
    <row r="30" spans="1:26" x14ac:dyDescent="0.25">
      <c r="A30" s="38">
        <v>1394</v>
      </c>
      <c r="B30" s="40">
        <v>41982</v>
      </c>
      <c r="C30" s="38">
        <v>9</v>
      </c>
      <c r="D30" s="38" t="s">
        <v>283</v>
      </c>
      <c r="E30" s="38" t="s">
        <v>284</v>
      </c>
      <c r="F30" s="38" t="s">
        <v>285</v>
      </c>
      <c r="G30" s="38" t="s">
        <v>286</v>
      </c>
      <c r="H30" s="38">
        <v>99999</v>
      </c>
      <c r="I30" s="38" t="s">
        <v>188</v>
      </c>
      <c r="J30" s="38" t="s">
        <v>287</v>
      </c>
      <c r="K30" s="38" t="s">
        <v>190</v>
      </c>
      <c r="L30" s="40">
        <f t="shared" si="1"/>
        <v>41984</v>
      </c>
      <c r="M30" s="38" t="s">
        <v>204</v>
      </c>
      <c r="N30" s="38" t="s">
        <v>288</v>
      </c>
      <c r="O30" s="38" t="s">
        <v>284</v>
      </c>
      <c r="P30" s="38" t="s">
        <v>285</v>
      </c>
      <c r="Q30" s="38" t="s">
        <v>286</v>
      </c>
      <c r="R30" s="38">
        <v>99999</v>
      </c>
      <c r="S30" s="38" t="s">
        <v>188</v>
      </c>
      <c r="T30" s="38" t="s">
        <v>193</v>
      </c>
      <c r="U30" s="38" t="s">
        <v>289</v>
      </c>
      <c r="V30" s="38" t="s">
        <v>290</v>
      </c>
      <c r="W30" s="41">
        <v>19.5</v>
      </c>
      <c r="X30" s="38">
        <v>85</v>
      </c>
      <c r="Y30" s="41">
        <v>1657.5</v>
      </c>
      <c r="Z30" s="42">
        <v>165.75</v>
      </c>
    </row>
    <row r="31" spans="1:26" x14ac:dyDescent="0.25">
      <c r="A31" s="38">
        <v>1395</v>
      </c>
      <c r="B31" s="40">
        <v>41982</v>
      </c>
      <c r="C31" s="38">
        <v>9</v>
      </c>
      <c r="D31" s="38" t="s">
        <v>283</v>
      </c>
      <c r="E31" s="38" t="s">
        <v>284</v>
      </c>
      <c r="F31" s="38" t="s">
        <v>285</v>
      </c>
      <c r="G31" s="38" t="s">
        <v>286</v>
      </c>
      <c r="H31" s="38">
        <v>99999</v>
      </c>
      <c r="I31" s="38" t="s">
        <v>188</v>
      </c>
      <c r="J31" s="38" t="s">
        <v>287</v>
      </c>
      <c r="K31" s="38" t="s">
        <v>190</v>
      </c>
      <c r="L31" s="40">
        <f t="shared" si="1"/>
        <v>41984</v>
      </c>
      <c r="M31" s="38" t="s">
        <v>204</v>
      </c>
      <c r="N31" s="38" t="s">
        <v>288</v>
      </c>
      <c r="O31" s="38" t="s">
        <v>284</v>
      </c>
      <c r="P31" s="38" t="s">
        <v>285</v>
      </c>
      <c r="Q31" s="38" t="s">
        <v>286</v>
      </c>
      <c r="R31" s="38">
        <v>99999</v>
      </c>
      <c r="S31" s="38" t="s">
        <v>188</v>
      </c>
      <c r="T31" s="38" t="s">
        <v>193</v>
      </c>
      <c r="U31" s="38" t="s">
        <v>291</v>
      </c>
      <c r="V31" s="38" t="s">
        <v>292</v>
      </c>
      <c r="W31" s="41">
        <v>34.799999999999997</v>
      </c>
      <c r="X31" s="38">
        <v>18</v>
      </c>
      <c r="Y31" s="41">
        <v>626.4</v>
      </c>
      <c r="Z31" s="42">
        <v>61.3872</v>
      </c>
    </row>
    <row r="32" spans="1:26" x14ac:dyDescent="0.25">
      <c r="A32" s="38">
        <v>1396</v>
      </c>
      <c r="B32" s="40">
        <v>41979</v>
      </c>
      <c r="C32" s="38">
        <v>6</v>
      </c>
      <c r="D32" s="38" t="s">
        <v>240</v>
      </c>
      <c r="E32" s="38" t="s">
        <v>241</v>
      </c>
      <c r="F32" s="38" t="s">
        <v>242</v>
      </c>
      <c r="G32" s="38" t="s">
        <v>243</v>
      </c>
      <c r="H32" s="38">
        <v>99999</v>
      </c>
      <c r="I32" s="38" t="s">
        <v>188</v>
      </c>
      <c r="J32" s="38" t="s">
        <v>244</v>
      </c>
      <c r="K32" s="38" t="s">
        <v>219</v>
      </c>
      <c r="L32" s="40">
        <f t="shared" si="1"/>
        <v>41981</v>
      </c>
      <c r="M32" s="38" t="s">
        <v>191</v>
      </c>
      <c r="N32" s="38" t="s">
        <v>245</v>
      </c>
      <c r="O32" s="38" t="s">
        <v>241</v>
      </c>
      <c r="P32" s="38" t="s">
        <v>242</v>
      </c>
      <c r="Q32" s="38" t="s">
        <v>243</v>
      </c>
      <c r="R32" s="38">
        <v>99999</v>
      </c>
      <c r="S32" s="38" t="s">
        <v>188</v>
      </c>
      <c r="T32" s="38" t="s">
        <v>206</v>
      </c>
      <c r="U32" s="38" t="s">
        <v>194</v>
      </c>
      <c r="V32" s="38" t="s">
        <v>195</v>
      </c>
      <c r="W32" s="41">
        <v>14</v>
      </c>
      <c r="X32" s="38">
        <v>85</v>
      </c>
      <c r="Y32" s="41">
        <v>1190</v>
      </c>
      <c r="Z32" s="42">
        <v>115.42999999999999</v>
      </c>
    </row>
    <row r="33" spans="1:26" x14ac:dyDescent="0.25">
      <c r="A33" s="38">
        <v>1397</v>
      </c>
      <c r="B33" s="40">
        <v>41981</v>
      </c>
      <c r="C33" s="38">
        <v>8</v>
      </c>
      <c r="D33" s="38" t="s">
        <v>214</v>
      </c>
      <c r="E33" s="38" t="s">
        <v>215</v>
      </c>
      <c r="F33" s="38" t="s">
        <v>216</v>
      </c>
      <c r="G33" s="38" t="s">
        <v>217</v>
      </c>
      <c r="H33" s="38">
        <v>99999</v>
      </c>
      <c r="I33" s="38" t="s">
        <v>188</v>
      </c>
      <c r="J33" s="38" t="s">
        <v>218</v>
      </c>
      <c r="K33" s="38" t="s">
        <v>219</v>
      </c>
      <c r="L33" s="40">
        <f t="shared" si="1"/>
        <v>41983</v>
      </c>
      <c r="M33" s="38" t="s">
        <v>191</v>
      </c>
      <c r="N33" s="38" t="s">
        <v>221</v>
      </c>
      <c r="O33" s="38" t="s">
        <v>215</v>
      </c>
      <c r="P33" s="38" t="s">
        <v>216</v>
      </c>
      <c r="Q33" s="38" t="s">
        <v>217</v>
      </c>
      <c r="R33" s="38">
        <v>99999</v>
      </c>
      <c r="S33" s="38" t="s">
        <v>188</v>
      </c>
      <c r="T33" s="38" t="s">
        <v>193</v>
      </c>
      <c r="U33" s="38" t="s">
        <v>246</v>
      </c>
      <c r="V33" s="38" t="s">
        <v>247</v>
      </c>
      <c r="W33" s="41">
        <v>40</v>
      </c>
      <c r="X33" s="38">
        <v>82</v>
      </c>
      <c r="Y33" s="41">
        <v>3280</v>
      </c>
      <c r="Z33" s="42">
        <v>318.15999999999997</v>
      </c>
    </row>
    <row r="34" spans="1:26" x14ac:dyDescent="0.25">
      <c r="A34" s="38">
        <v>1398</v>
      </c>
      <c r="B34" s="40">
        <v>41981</v>
      </c>
      <c r="C34" s="38">
        <v>8</v>
      </c>
      <c r="D34" s="38" t="s">
        <v>214</v>
      </c>
      <c r="E34" s="38" t="s">
        <v>215</v>
      </c>
      <c r="F34" s="38" t="s">
        <v>216</v>
      </c>
      <c r="G34" s="38" t="s">
        <v>217</v>
      </c>
      <c r="H34" s="38">
        <v>99999</v>
      </c>
      <c r="I34" s="38" t="s">
        <v>188</v>
      </c>
      <c r="J34" s="38" t="s">
        <v>218</v>
      </c>
      <c r="K34" s="38" t="s">
        <v>219</v>
      </c>
      <c r="L34" s="40">
        <f t="shared" si="1"/>
        <v>41983</v>
      </c>
      <c r="M34" s="38" t="s">
        <v>191</v>
      </c>
      <c r="N34" s="38" t="s">
        <v>221</v>
      </c>
      <c r="O34" s="38" t="s">
        <v>215</v>
      </c>
      <c r="P34" s="38" t="s">
        <v>216</v>
      </c>
      <c r="Q34" s="38" t="s">
        <v>217</v>
      </c>
      <c r="R34" s="38">
        <v>99999</v>
      </c>
      <c r="S34" s="38" t="s">
        <v>188</v>
      </c>
      <c r="T34" s="38" t="s">
        <v>193</v>
      </c>
      <c r="U34" s="38" t="s">
        <v>222</v>
      </c>
      <c r="V34" s="38" t="s">
        <v>223</v>
      </c>
      <c r="W34" s="41">
        <v>9.1999999999999993</v>
      </c>
      <c r="X34" s="38">
        <v>47</v>
      </c>
      <c r="Y34" s="41">
        <v>432.4</v>
      </c>
      <c r="Z34" s="42">
        <v>41.510399999999997</v>
      </c>
    </row>
    <row r="35" spans="1:26" x14ac:dyDescent="0.25">
      <c r="A35" s="38">
        <v>1399</v>
      </c>
      <c r="B35" s="40">
        <v>41998</v>
      </c>
      <c r="C35" s="38">
        <v>25</v>
      </c>
      <c r="D35" s="38" t="s">
        <v>295</v>
      </c>
      <c r="E35" s="38" t="s">
        <v>296</v>
      </c>
      <c r="F35" s="38" t="s">
        <v>257</v>
      </c>
      <c r="G35" s="38" t="s">
        <v>258</v>
      </c>
      <c r="H35" s="38">
        <v>99999</v>
      </c>
      <c r="I35" s="38" t="s">
        <v>188</v>
      </c>
      <c r="J35" s="38" t="s">
        <v>259</v>
      </c>
      <c r="K35" s="38" t="s">
        <v>203</v>
      </c>
      <c r="L35" s="40">
        <f t="shared" si="1"/>
        <v>42000</v>
      </c>
      <c r="M35" s="38" t="s">
        <v>204</v>
      </c>
      <c r="N35" s="38" t="s">
        <v>297</v>
      </c>
      <c r="O35" s="38" t="s">
        <v>296</v>
      </c>
      <c r="P35" s="38" t="s">
        <v>257</v>
      </c>
      <c r="Q35" s="38" t="s">
        <v>258</v>
      </c>
      <c r="R35" s="38">
        <v>99999</v>
      </c>
      <c r="S35" s="38" t="s">
        <v>188</v>
      </c>
      <c r="T35" s="38" t="s">
        <v>237</v>
      </c>
      <c r="U35" s="38" t="s">
        <v>304</v>
      </c>
      <c r="V35" s="38" t="s">
        <v>223</v>
      </c>
      <c r="W35" s="41">
        <v>10</v>
      </c>
      <c r="X35" s="38">
        <v>99</v>
      </c>
      <c r="Y35" s="41">
        <v>990</v>
      </c>
      <c r="Z35" s="42">
        <v>99</v>
      </c>
    </row>
    <row r="36" spans="1:26" x14ac:dyDescent="0.25">
      <c r="A36" s="38">
        <v>1400</v>
      </c>
      <c r="B36" s="40">
        <v>41999</v>
      </c>
      <c r="C36" s="38">
        <v>26</v>
      </c>
      <c r="D36" s="38" t="s">
        <v>298</v>
      </c>
      <c r="E36" s="38" t="s">
        <v>299</v>
      </c>
      <c r="F36" s="38" t="s">
        <v>273</v>
      </c>
      <c r="G36" s="38" t="s">
        <v>274</v>
      </c>
      <c r="H36" s="38">
        <v>99999</v>
      </c>
      <c r="I36" s="38" t="s">
        <v>188</v>
      </c>
      <c r="J36" s="38" t="s">
        <v>252</v>
      </c>
      <c r="K36" s="38" t="s">
        <v>253</v>
      </c>
      <c r="L36" s="40">
        <f t="shared" si="1"/>
        <v>42001</v>
      </c>
      <c r="M36" s="38" t="s">
        <v>220</v>
      </c>
      <c r="N36" s="38" t="s">
        <v>300</v>
      </c>
      <c r="O36" s="38" t="s">
        <v>299</v>
      </c>
      <c r="P36" s="38" t="s">
        <v>273</v>
      </c>
      <c r="Q36" s="38" t="s">
        <v>274</v>
      </c>
      <c r="R36" s="38">
        <v>99999</v>
      </c>
      <c r="S36" s="38" t="s">
        <v>188</v>
      </c>
      <c r="T36" s="38" t="s">
        <v>206</v>
      </c>
      <c r="U36" s="38" t="s">
        <v>305</v>
      </c>
      <c r="V36" s="38" t="s">
        <v>306</v>
      </c>
      <c r="W36" s="41">
        <v>21.35</v>
      </c>
      <c r="X36" s="38">
        <v>49</v>
      </c>
      <c r="Y36" s="41">
        <v>1046.1500000000001</v>
      </c>
      <c r="Z36" s="42">
        <v>106.70730000000002</v>
      </c>
    </row>
    <row r="37" spans="1:26" x14ac:dyDescent="0.25">
      <c r="A37" s="38">
        <v>1401</v>
      </c>
      <c r="B37" s="40">
        <v>41999</v>
      </c>
      <c r="C37" s="38">
        <v>26</v>
      </c>
      <c r="D37" s="38" t="s">
        <v>298</v>
      </c>
      <c r="E37" s="38" t="s">
        <v>299</v>
      </c>
      <c r="F37" s="38" t="s">
        <v>273</v>
      </c>
      <c r="G37" s="38" t="s">
        <v>274</v>
      </c>
      <c r="H37" s="38">
        <v>99999</v>
      </c>
      <c r="I37" s="38" t="s">
        <v>188</v>
      </c>
      <c r="J37" s="38" t="s">
        <v>252</v>
      </c>
      <c r="K37" s="38" t="s">
        <v>253</v>
      </c>
      <c r="L37" s="40">
        <f t="shared" si="1"/>
        <v>42001</v>
      </c>
      <c r="M37" s="38" t="s">
        <v>220</v>
      </c>
      <c r="N37" s="38" t="s">
        <v>300</v>
      </c>
      <c r="O37" s="38" t="s">
        <v>299</v>
      </c>
      <c r="P37" s="38" t="s">
        <v>273</v>
      </c>
      <c r="Q37" s="38" t="s">
        <v>274</v>
      </c>
      <c r="R37" s="38">
        <v>99999</v>
      </c>
      <c r="S37" s="38" t="s">
        <v>188</v>
      </c>
      <c r="T37" s="38" t="s">
        <v>206</v>
      </c>
      <c r="U37" s="38" t="s">
        <v>238</v>
      </c>
      <c r="V37" s="38" t="s">
        <v>239</v>
      </c>
      <c r="W37" s="41">
        <v>9.65</v>
      </c>
      <c r="X37" s="38">
        <v>72</v>
      </c>
      <c r="Y37" s="41">
        <v>694.80000000000007</v>
      </c>
      <c r="Z37" s="42">
        <v>72.954000000000008</v>
      </c>
    </row>
    <row r="38" spans="1:26" x14ac:dyDescent="0.25">
      <c r="A38" s="38">
        <v>1402</v>
      </c>
      <c r="B38" s="40">
        <v>41999</v>
      </c>
      <c r="C38" s="38">
        <v>26</v>
      </c>
      <c r="D38" s="38" t="s">
        <v>298</v>
      </c>
      <c r="E38" s="38" t="s">
        <v>299</v>
      </c>
      <c r="F38" s="38" t="s">
        <v>273</v>
      </c>
      <c r="G38" s="38" t="s">
        <v>274</v>
      </c>
      <c r="H38" s="38">
        <v>99999</v>
      </c>
      <c r="I38" s="38" t="s">
        <v>188</v>
      </c>
      <c r="J38" s="38" t="s">
        <v>252</v>
      </c>
      <c r="K38" s="38" t="s">
        <v>253</v>
      </c>
      <c r="L38" s="40">
        <f t="shared" si="1"/>
        <v>42001</v>
      </c>
      <c r="M38" s="38" t="s">
        <v>220</v>
      </c>
      <c r="N38" s="38" t="s">
        <v>300</v>
      </c>
      <c r="O38" s="38" t="s">
        <v>299</v>
      </c>
      <c r="P38" s="38" t="s">
        <v>273</v>
      </c>
      <c r="Q38" s="38" t="s">
        <v>274</v>
      </c>
      <c r="R38" s="38">
        <v>99999</v>
      </c>
      <c r="S38" s="38" t="s">
        <v>188</v>
      </c>
      <c r="T38" s="38" t="s">
        <v>206</v>
      </c>
      <c r="U38" s="38" t="s">
        <v>281</v>
      </c>
      <c r="V38" s="38" t="s">
        <v>282</v>
      </c>
      <c r="W38" s="41">
        <v>18.399999999999999</v>
      </c>
      <c r="X38" s="38">
        <v>99</v>
      </c>
      <c r="Y38" s="41">
        <v>1821.6</v>
      </c>
      <c r="Z38" s="42">
        <v>191.268</v>
      </c>
    </row>
    <row r="39" spans="1:26" x14ac:dyDescent="0.25">
      <c r="A39" s="38">
        <v>1403</v>
      </c>
      <c r="B39" s="40">
        <v>42002</v>
      </c>
      <c r="C39" s="38">
        <v>29</v>
      </c>
      <c r="D39" s="38" t="s">
        <v>224</v>
      </c>
      <c r="E39" s="38" t="s">
        <v>225</v>
      </c>
      <c r="F39" s="38" t="s">
        <v>226</v>
      </c>
      <c r="G39" s="38" t="s">
        <v>227</v>
      </c>
      <c r="H39" s="38">
        <v>99999</v>
      </c>
      <c r="I39" s="38" t="s">
        <v>188</v>
      </c>
      <c r="J39" s="38" t="s">
        <v>228</v>
      </c>
      <c r="K39" s="38" t="s">
        <v>190</v>
      </c>
      <c r="L39" s="40">
        <f t="shared" si="1"/>
        <v>42004</v>
      </c>
      <c r="M39" s="38" t="s">
        <v>191</v>
      </c>
      <c r="N39" s="38" t="s">
        <v>229</v>
      </c>
      <c r="O39" s="38" t="s">
        <v>225</v>
      </c>
      <c r="P39" s="38" t="s">
        <v>226</v>
      </c>
      <c r="Q39" s="38" t="s">
        <v>227</v>
      </c>
      <c r="R39" s="38">
        <v>99999</v>
      </c>
      <c r="S39" s="38" t="s">
        <v>188</v>
      </c>
      <c r="T39" s="38" t="s">
        <v>193</v>
      </c>
      <c r="U39" s="38" t="s">
        <v>194</v>
      </c>
      <c r="V39" s="38" t="s">
        <v>195</v>
      </c>
      <c r="W39" s="41">
        <v>14</v>
      </c>
      <c r="X39" s="38">
        <v>10</v>
      </c>
      <c r="Y39" s="41">
        <v>140</v>
      </c>
      <c r="Z39" s="42">
        <v>13.86</v>
      </c>
    </row>
    <row r="40" spans="1:26" x14ac:dyDescent="0.25">
      <c r="A40" s="38">
        <v>1404</v>
      </c>
      <c r="B40" s="40">
        <v>41979</v>
      </c>
      <c r="C40" s="38">
        <v>6</v>
      </c>
      <c r="D40" s="38" t="s">
        <v>240</v>
      </c>
      <c r="E40" s="38" t="s">
        <v>241</v>
      </c>
      <c r="F40" s="38" t="s">
        <v>242</v>
      </c>
      <c r="G40" s="38" t="s">
        <v>243</v>
      </c>
      <c r="H40" s="38">
        <v>99999</v>
      </c>
      <c r="I40" s="38" t="s">
        <v>188</v>
      </c>
      <c r="J40" s="38" t="s">
        <v>244</v>
      </c>
      <c r="K40" s="38" t="s">
        <v>219</v>
      </c>
      <c r="L40" s="40">
        <f t="shared" si="1"/>
        <v>41981</v>
      </c>
      <c r="M40" s="38" t="s">
        <v>220</v>
      </c>
      <c r="N40" s="38" t="s">
        <v>245</v>
      </c>
      <c r="O40" s="38" t="s">
        <v>241</v>
      </c>
      <c r="P40" s="38" t="s">
        <v>242</v>
      </c>
      <c r="Q40" s="38" t="s">
        <v>243</v>
      </c>
      <c r="R40" s="38">
        <v>99999</v>
      </c>
      <c r="S40" s="38" t="s">
        <v>188</v>
      </c>
      <c r="T40" s="38" t="s">
        <v>193</v>
      </c>
      <c r="U40" s="38" t="s">
        <v>230</v>
      </c>
      <c r="V40" s="38" t="s">
        <v>231</v>
      </c>
      <c r="W40" s="41">
        <v>12.75</v>
      </c>
      <c r="X40" s="38">
        <v>100</v>
      </c>
      <c r="Y40" s="41">
        <v>1275</v>
      </c>
      <c r="Z40" s="42">
        <v>122.39999999999999</v>
      </c>
    </row>
    <row r="41" spans="1:26" x14ac:dyDescent="0.25">
      <c r="A41" s="38">
        <v>1405</v>
      </c>
      <c r="B41" s="40">
        <v>42000</v>
      </c>
      <c r="C41" s="38">
        <v>27</v>
      </c>
      <c r="D41" s="38" t="s">
        <v>184</v>
      </c>
      <c r="E41" s="38" t="s">
        <v>185</v>
      </c>
      <c r="F41" s="38" t="s">
        <v>186</v>
      </c>
      <c r="G41" s="38" t="s">
        <v>187</v>
      </c>
      <c r="H41" s="38">
        <v>99999</v>
      </c>
      <c r="I41" s="38" t="s">
        <v>188</v>
      </c>
      <c r="J41" s="38" t="s">
        <v>189</v>
      </c>
      <c r="K41" s="38" t="s">
        <v>190</v>
      </c>
      <c r="L41" s="40">
        <f t="shared" si="1"/>
        <v>42002</v>
      </c>
      <c r="M41" s="38" t="s">
        <v>191</v>
      </c>
      <c r="N41" s="38" t="s">
        <v>192</v>
      </c>
      <c r="O41" s="38" t="s">
        <v>185</v>
      </c>
      <c r="P41" s="38" t="s">
        <v>186</v>
      </c>
      <c r="Q41" s="38" t="s">
        <v>187</v>
      </c>
      <c r="R41" s="38">
        <v>99999</v>
      </c>
      <c r="S41" s="38" t="s">
        <v>188</v>
      </c>
      <c r="T41" s="38" t="s">
        <v>193</v>
      </c>
      <c r="W41" s="41"/>
      <c r="Y41" s="41">
        <v>0</v>
      </c>
      <c r="Z41" s="42">
        <v>27</v>
      </c>
    </row>
    <row r="42" spans="1:26" x14ac:dyDescent="0.25">
      <c r="A42" s="38">
        <v>1406</v>
      </c>
      <c r="B42" s="40">
        <v>41977</v>
      </c>
      <c r="C42" s="38">
        <v>4</v>
      </c>
      <c r="D42" s="38" t="s">
        <v>198</v>
      </c>
      <c r="E42" s="38" t="s">
        <v>199</v>
      </c>
      <c r="F42" s="38" t="s">
        <v>200</v>
      </c>
      <c r="G42" s="38" t="s">
        <v>201</v>
      </c>
      <c r="H42" s="38">
        <v>99999</v>
      </c>
      <c r="I42" s="38" t="s">
        <v>188</v>
      </c>
      <c r="J42" s="38" t="s">
        <v>202</v>
      </c>
      <c r="K42" s="38" t="s">
        <v>203</v>
      </c>
      <c r="L42" s="40">
        <f t="shared" si="1"/>
        <v>41979</v>
      </c>
      <c r="M42" s="38" t="s">
        <v>204</v>
      </c>
      <c r="N42" s="38" t="s">
        <v>205</v>
      </c>
      <c r="O42" s="38" t="s">
        <v>199</v>
      </c>
      <c r="P42" s="38" t="s">
        <v>200</v>
      </c>
      <c r="Q42" s="38" t="s">
        <v>201</v>
      </c>
      <c r="R42" s="38">
        <v>99999</v>
      </c>
      <c r="S42" s="38" t="s">
        <v>188</v>
      </c>
      <c r="T42" s="38" t="s">
        <v>206</v>
      </c>
      <c r="U42" s="38" t="s">
        <v>307</v>
      </c>
      <c r="V42" s="38" t="s">
        <v>268</v>
      </c>
      <c r="W42" s="41">
        <v>81</v>
      </c>
      <c r="X42" s="38">
        <v>62</v>
      </c>
      <c r="Y42" s="43">
        <v>1377</v>
      </c>
      <c r="Z42" s="42">
        <v>117.93600000000001</v>
      </c>
    </row>
    <row r="43" spans="1:26" x14ac:dyDescent="0.25">
      <c r="A43" s="38">
        <v>1407</v>
      </c>
      <c r="B43" s="40">
        <v>41977</v>
      </c>
      <c r="C43" s="38">
        <v>4</v>
      </c>
      <c r="D43" s="38" t="s">
        <v>198</v>
      </c>
      <c r="E43" s="38" t="s">
        <v>199</v>
      </c>
      <c r="F43" s="38" t="s">
        <v>200</v>
      </c>
      <c r="G43" s="38" t="s">
        <v>201</v>
      </c>
      <c r="H43" s="38">
        <v>99999</v>
      </c>
      <c r="I43" s="38" t="s">
        <v>188</v>
      </c>
      <c r="J43" s="38" t="s">
        <v>202</v>
      </c>
      <c r="K43" s="38" t="s">
        <v>203</v>
      </c>
      <c r="L43" s="40">
        <f t="shared" si="1"/>
        <v>41979</v>
      </c>
      <c r="M43" s="38" t="s">
        <v>204</v>
      </c>
      <c r="N43" s="38" t="s">
        <v>205</v>
      </c>
      <c r="O43" s="38" t="s">
        <v>199</v>
      </c>
      <c r="P43" s="38" t="s">
        <v>200</v>
      </c>
      <c r="Q43" s="38" t="s">
        <v>201</v>
      </c>
      <c r="R43" s="38">
        <v>99999</v>
      </c>
      <c r="S43" s="38" t="s">
        <v>188</v>
      </c>
      <c r="T43" s="38" t="s">
        <v>206</v>
      </c>
      <c r="U43" s="38" t="s">
        <v>308</v>
      </c>
      <c r="V43" s="38" t="s">
        <v>309</v>
      </c>
      <c r="W43" s="41">
        <v>7</v>
      </c>
      <c r="X43" s="38">
        <v>91</v>
      </c>
      <c r="Y43" s="43">
        <v>196</v>
      </c>
      <c r="Z43" s="42">
        <v>13.719999999999999</v>
      </c>
    </row>
    <row r="44" spans="1:26" x14ac:dyDescent="0.25">
      <c r="A44" s="38">
        <v>1408</v>
      </c>
      <c r="B44" s="40">
        <v>41985</v>
      </c>
      <c r="C44" s="38">
        <v>12</v>
      </c>
      <c r="D44" s="38" t="s">
        <v>209</v>
      </c>
      <c r="E44" s="38" t="s">
        <v>210</v>
      </c>
      <c r="F44" s="38" t="s">
        <v>186</v>
      </c>
      <c r="G44" s="38" t="s">
        <v>187</v>
      </c>
      <c r="H44" s="38">
        <v>99999</v>
      </c>
      <c r="I44" s="38" t="s">
        <v>188</v>
      </c>
      <c r="J44" s="38" t="s">
        <v>189</v>
      </c>
      <c r="K44" s="38" t="s">
        <v>190</v>
      </c>
      <c r="L44" s="40">
        <f t="shared" si="1"/>
        <v>41987</v>
      </c>
      <c r="M44" s="38" t="s">
        <v>191</v>
      </c>
      <c r="N44" s="38" t="s">
        <v>211</v>
      </c>
      <c r="O44" s="38" t="s">
        <v>210</v>
      </c>
      <c r="P44" s="38" t="s">
        <v>186</v>
      </c>
      <c r="Q44" s="38" t="s">
        <v>187</v>
      </c>
      <c r="R44" s="38">
        <v>99999</v>
      </c>
      <c r="S44" s="38" t="s">
        <v>188</v>
      </c>
      <c r="T44" s="38" t="s">
        <v>206</v>
      </c>
      <c r="W44" s="41"/>
      <c r="Y44" s="41">
        <v>0</v>
      </c>
      <c r="Z44" s="42">
        <v>8</v>
      </c>
    </row>
    <row r="45" spans="1:26" x14ac:dyDescent="0.25">
      <c r="A45" s="38">
        <v>1409</v>
      </c>
      <c r="B45" s="40">
        <v>41981</v>
      </c>
      <c r="C45" s="38">
        <v>8</v>
      </c>
      <c r="D45" s="38" t="s">
        <v>214</v>
      </c>
      <c r="E45" s="38" t="s">
        <v>215</v>
      </c>
      <c r="F45" s="38" t="s">
        <v>216</v>
      </c>
      <c r="G45" s="38" t="s">
        <v>217</v>
      </c>
      <c r="H45" s="38">
        <v>99999</v>
      </c>
      <c r="I45" s="38" t="s">
        <v>188</v>
      </c>
      <c r="J45" s="38" t="s">
        <v>218</v>
      </c>
      <c r="K45" s="38" t="s">
        <v>219</v>
      </c>
      <c r="L45" s="40">
        <f t="shared" si="1"/>
        <v>41983</v>
      </c>
      <c r="M45" s="38" t="s">
        <v>220</v>
      </c>
      <c r="N45" s="38" t="s">
        <v>221</v>
      </c>
      <c r="O45" s="38" t="s">
        <v>215</v>
      </c>
      <c r="P45" s="38" t="s">
        <v>216</v>
      </c>
      <c r="Q45" s="38" t="s">
        <v>217</v>
      </c>
      <c r="R45" s="38">
        <v>99999</v>
      </c>
      <c r="S45" s="38" t="s">
        <v>188</v>
      </c>
      <c r="T45" s="38" t="s">
        <v>206</v>
      </c>
      <c r="U45" s="38" t="s">
        <v>291</v>
      </c>
      <c r="V45" s="38" t="s">
        <v>292</v>
      </c>
      <c r="W45" s="41">
        <v>34.799999999999997</v>
      </c>
      <c r="X45" s="38">
        <v>29</v>
      </c>
      <c r="Y45" s="41">
        <v>2923.2</v>
      </c>
      <c r="Z45" s="42">
        <v>300.846</v>
      </c>
    </row>
    <row r="46" spans="1:26" x14ac:dyDescent="0.25">
      <c r="A46" s="38">
        <v>1410</v>
      </c>
      <c r="B46" s="40">
        <v>41977</v>
      </c>
      <c r="C46" s="38">
        <v>4</v>
      </c>
      <c r="D46" s="38" t="s">
        <v>198</v>
      </c>
      <c r="E46" s="38" t="s">
        <v>199</v>
      </c>
      <c r="F46" s="38" t="s">
        <v>200</v>
      </c>
      <c r="G46" s="38" t="s">
        <v>201</v>
      </c>
      <c r="H46" s="38">
        <v>99999</v>
      </c>
      <c r="I46" s="38" t="s">
        <v>188</v>
      </c>
      <c r="J46" s="38" t="s">
        <v>202</v>
      </c>
      <c r="K46" s="38" t="s">
        <v>203</v>
      </c>
      <c r="L46" s="40">
        <f t="shared" si="1"/>
        <v>41979</v>
      </c>
      <c r="M46" s="38" t="s">
        <v>220</v>
      </c>
      <c r="N46" s="38" t="s">
        <v>205</v>
      </c>
      <c r="O46" s="38" t="s">
        <v>199</v>
      </c>
      <c r="P46" s="38" t="s">
        <v>200</v>
      </c>
      <c r="Q46" s="38" t="s">
        <v>201</v>
      </c>
      <c r="R46" s="38">
        <v>99999</v>
      </c>
      <c r="S46" s="38" t="s">
        <v>188</v>
      </c>
      <c r="T46" s="38" t="s">
        <v>193</v>
      </c>
      <c r="W46" s="41"/>
      <c r="Y46" s="43">
        <v>0</v>
      </c>
      <c r="Z46" s="42">
        <v>9</v>
      </c>
    </row>
    <row r="47" spans="1:26" x14ac:dyDescent="0.25">
      <c r="A47" s="38">
        <v>1411</v>
      </c>
      <c r="B47" s="40">
        <v>42002</v>
      </c>
      <c r="C47" s="38">
        <v>29</v>
      </c>
      <c r="D47" s="38" t="s">
        <v>224</v>
      </c>
      <c r="E47" s="38" t="s">
        <v>225</v>
      </c>
      <c r="F47" s="38" t="s">
        <v>226</v>
      </c>
      <c r="G47" s="38" t="s">
        <v>227</v>
      </c>
      <c r="H47" s="38">
        <v>99999</v>
      </c>
      <c r="I47" s="38" t="s">
        <v>188</v>
      </c>
      <c r="J47" s="38" t="s">
        <v>228</v>
      </c>
      <c r="K47" s="38" t="s">
        <v>190</v>
      </c>
      <c r="L47" s="40">
        <f t="shared" si="1"/>
        <v>42004</v>
      </c>
      <c r="M47" s="38" t="s">
        <v>191</v>
      </c>
      <c r="N47" s="38" t="s">
        <v>229</v>
      </c>
      <c r="O47" s="38" t="s">
        <v>225</v>
      </c>
      <c r="P47" s="38" t="s">
        <v>226</v>
      </c>
      <c r="Q47" s="38" t="s">
        <v>227</v>
      </c>
      <c r="R47" s="38">
        <v>99999</v>
      </c>
      <c r="S47" s="38" t="s">
        <v>188</v>
      </c>
      <c r="T47" s="38" t="s">
        <v>193</v>
      </c>
      <c r="W47" s="41"/>
      <c r="Y47" s="41">
        <v>0</v>
      </c>
      <c r="Z47" s="42">
        <v>23</v>
      </c>
    </row>
    <row r="48" spans="1:26" x14ac:dyDescent="0.25">
      <c r="A48" s="38">
        <v>1412</v>
      </c>
      <c r="B48" s="40">
        <v>41976</v>
      </c>
      <c r="C48" s="38">
        <v>3</v>
      </c>
      <c r="D48" s="38" t="s">
        <v>232</v>
      </c>
      <c r="E48" s="38" t="s">
        <v>233</v>
      </c>
      <c r="F48" s="38" t="s">
        <v>234</v>
      </c>
      <c r="G48" s="38" t="s">
        <v>235</v>
      </c>
      <c r="H48" s="38">
        <v>99999</v>
      </c>
      <c r="I48" s="38" t="s">
        <v>188</v>
      </c>
      <c r="J48" s="38" t="s">
        <v>189</v>
      </c>
      <c r="K48" s="38" t="s">
        <v>190</v>
      </c>
      <c r="L48" s="40">
        <f t="shared" si="1"/>
        <v>41978</v>
      </c>
      <c r="M48" s="38" t="s">
        <v>191</v>
      </c>
      <c r="N48" s="38" t="s">
        <v>236</v>
      </c>
      <c r="O48" s="38" t="s">
        <v>233</v>
      </c>
      <c r="P48" s="38" t="s">
        <v>234</v>
      </c>
      <c r="Q48" s="38" t="s">
        <v>235</v>
      </c>
      <c r="R48" s="38">
        <v>99999</v>
      </c>
      <c r="S48" s="38" t="s">
        <v>188</v>
      </c>
      <c r="T48" s="38" t="s">
        <v>237</v>
      </c>
      <c r="U48" s="38" t="s">
        <v>293</v>
      </c>
      <c r="V48" s="38" t="s">
        <v>270</v>
      </c>
      <c r="W48" s="41">
        <v>10</v>
      </c>
      <c r="X48" s="38">
        <v>49</v>
      </c>
      <c r="Y48" s="41">
        <v>280</v>
      </c>
      <c r="Z48" s="42">
        <v>90.25</v>
      </c>
    </row>
    <row r="49" spans="1:26" x14ac:dyDescent="0.25">
      <c r="A49" s="38">
        <v>1413</v>
      </c>
      <c r="B49" s="40">
        <v>41976</v>
      </c>
      <c r="C49" s="38">
        <v>3</v>
      </c>
      <c r="D49" s="38" t="s">
        <v>232</v>
      </c>
      <c r="E49" s="38" t="s">
        <v>233</v>
      </c>
      <c r="F49" s="38" t="s">
        <v>234</v>
      </c>
      <c r="G49" s="38" t="s">
        <v>235</v>
      </c>
      <c r="H49" s="38">
        <v>99999</v>
      </c>
      <c r="I49" s="38" t="s">
        <v>188</v>
      </c>
      <c r="J49" s="38" t="s">
        <v>189</v>
      </c>
      <c r="K49" s="38" t="s">
        <v>190</v>
      </c>
      <c r="L49" s="40">
        <f t="shared" si="1"/>
        <v>41978</v>
      </c>
      <c r="M49" s="38" t="s">
        <v>191</v>
      </c>
      <c r="N49" s="38" t="s">
        <v>236</v>
      </c>
      <c r="O49" s="38" t="s">
        <v>233</v>
      </c>
      <c r="P49" s="38" t="s">
        <v>234</v>
      </c>
      <c r="Q49" s="38" t="s">
        <v>235</v>
      </c>
      <c r="R49" s="38">
        <v>99999</v>
      </c>
      <c r="S49" s="38" t="s">
        <v>188</v>
      </c>
      <c r="T49" s="38" t="s">
        <v>237</v>
      </c>
      <c r="U49" s="38" t="s">
        <v>246</v>
      </c>
      <c r="V49" s="38" t="s">
        <v>247</v>
      </c>
      <c r="W49" s="41">
        <v>40</v>
      </c>
      <c r="X49" s="38">
        <v>29</v>
      </c>
      <c r="Y49" s="41">
        <v>480</v>
      </c>
      <c r="Z49" s="42">
        <v>239.12</v>
      </c>
    </row>
    <row r="50" spans="1:26" x14ac:dyDescent="0.25">
      <c r="A50" s="38">
        <v>1414</v>
      </c>
      <c r="B50" s="40">
        <v>41979</v>
      </c>
      <c r="C50" s="38">
        <v>6</v>
      </c>
      <c r="D50" s="38" t="s">
        <v>240</v>
      </c>
      <c r="E50" s="38" t="s">
        <v>241</v>
      </c>
      <c r="F50" s="38" t="s">
        <v>242</v>
      </c>
      <c r="G50" s="38" t="s">
        <v>243</v>
      </c>
      <c r="H50" s="38">
        <v>99999</v>
      </c>
      <c r="I50" s="38" t="s">
        <v>188</v>
      </c>
      <c r="J50" s="38" t="s">
        <v>244</v>
      </c>
      <c r="K50" s="38" t="s">
        <v>219</v>
      </c>
      <c r="L50" s="40">
        <f t="shared" si="1"/>
        <v>41981</v>
      </c>
      <c r="M50" s="38" t="s">
        <v>191</v>
      </c>
      <c r="N50" s="38" t="s">
        <v>245</v>
      </c>
      <c r="O50" s="38" t="s">
        <v>241</v>
      </c>
      <c r="P50" s="38" t="s">
        <v>242</v>
      </c>
      <c r="Q50" s="38" t="s">
        <v>243</v>
      </c>
      <c r="R50" s="38">
        <v>99999</v>
      </c>
      <c r="S50" s="38" t="s">
        <v>188</v>
      </c>
      <c r="T50" s="38" t="s">
        <v>206</v>
      </c>
      <c r="W50" s="41"/>
      <c r="Y50" s="41">
        <v>0</v>
      </c>
      <c r="Z50" s="42">
        <v>31</v>
      </c>
    </row>
    <row r="51" spans="1:26" x14ac:dyDescent="0.25">
      <c r="A51" s="38">
        <v>1415</v>
      </c>
      <c r="B51" s="40">
        <v>42001</v>
      </c>
      <c r="C51" s="38">
        <v>28</v>
      </c>
      <c r="D51" s="38" t="s">
        <v>248</v>
      </c>
      <c r="E51" s="38" t="s">
        <v>249</v>
      </c>
      <c r="F51" s="38" t="s">
        <v>250</v>
      </c>
      <c r="G51" s="38" t="s">
        <v>251</v>
      </c>
      <c r="H51" s="38">
        <v>99999</v>
      </c>
      <c r="I51" s="38" t="s">
        <v>188</v>
      </c>
      <c r="J51" s="38" t="s">
        <v>252</v>
      </c>
      <c r="K51" s="38" t="s">
        <v>253</v>
      </c>
      <c r="L51" s="40">
        <f t="shared" si="1"/>
        <v>42003</v>
      </c>
      <c r="M51" s="38" t="s">
        <v>220</v>
      </c>
      <c r="N51" s="38" t="s">
        <v>254</v>
      </c>
      <c r="O51" s="38" t="s">
        <v>249</v>
      </c>
      <c r="P51" s="38" t="s">
        <v>250</v>
      </c>
      <c r="Q51" s="38" t="s">
        <v>251</v>
      </c>
      <c r="R51" s="38">
        <v>99999</v>
      </c>
      <c r="S51" s="38" t="s">
        <v>188</v>
      </c>
      <c r="T51" s="38" t="s">
        <v>193</v>
      </c>
      <c r="W51" s="41"/>
      <c r="Y51" s="41">
        <v>0</v>
      </c>
      <c r="Z51" s="42">
        <v>20</v>
      </c>
    </row>
    <row r="52" spans="1:26" x14ac:dyDescent="0.25">
      <c r="A52" s="38">
        <v>1416</v>
      </c>
      <c r="B52" s="40">
        <v>41981</v>
      </c>
      <c r="C52" s="38">
        <v>8</v>
      </c>
      <c r="D52" s="38" t="s">
        <v>214</v>
      </c>
      <c r="E52" s="38" t="s">
        <v>215</v>
      </c>
      <c r="F52" s="38" t="s">
        <v>216</v>
      </c>
      <c r="G52" s="38" t="s">
        <v>217</v>
      </c>
      <c r="H52" s="38">
        <v>99999</v>
      </c>
      <c r="I52" s="38" t="s">
        <v>188</v>
      </c>
      <c r="J52" s="38" t="s">
        <v>218</v>
      </c>
      <c r="K52" s="38" t="s">
        <v>219</v>
      </c>
      <c r="L52" s="40">
        <f t="shared" si="1"/>
        <v>41983</v>
      </c>
      <c r="M52" s="38" t="s">
        <v>220</v>
      </c>
      <c r="N52" s="38" t="s">
        <v>221</v>
      </c>
      <c r="O52" s="38" t="s">
        <v>215</v>
      </c>
      <c r="P52" s="38" t="s">
        <v>216</v>
      </c>
      <c r="Q52" s="38" t="s">
        <v>217</v>
      </c>
      <c r="R52" s="38">
        <v>99999</v>
      </c>
      <c r="S52" s="38" t="s">
        <v>188</v>
      </c>
      <c r="T52" s="38" t="s">
        <v>193</v>
      </c>
      <c r="W52" s="41"/>
      <c r="Y52" s="41">
        <v>0</v>
      </c>
      <c r="Z52" s="42">
        <v>34</v>
      </c>
    </row>
    <row r="53" spans="1:26" x14ac:dyDescent="0.25">
      <c r="A53" s="38">
        <v>1417</v>
      </c>
      <c r="B53" s="40">
        <v>41983</v>
      </c>
      <c r="C53" s="38">
        <v>10</v>
      </c>
      <c r="D53" s="38" t="s">
        <v>255</v>
      </c>
      <c r="E53" s="38" t="s">
        <v>256</v>
      </c>
      <c r="F53" s="38" t="s">
        <v>257</v>
      </c>
      <c r="G53" s="38" t="s">
        <v>258</v>
      </c>
      <c r="H53" s="38">
        <v>99999</v>
      </c>
      <c r="I53" s="38" t="s">
        <v>188</v>
      </c>
      <c r="J53" s="38" t="s">
        <v>259</v>
      </c>
      <c r="K53" s="38" t="s">
        <v>203</v>
      </c>
      <c r="L53" s="40">
        <f t="shared" si="1"/>
        <v>41985</v>
      </c>
      <c r="M53" s="38" t="s">
        <v>191</v>
      </c>
      <c r="N53" s="38" t="s">
        <v>260</v>
      </c>
      <c r="O53" s="38" t="s">
        <v>256</v>
      </c>
      <c r="P53" s="38" t="s">
        <v>257</v>
      </c>
      <c r="Q53" s="38" t="s">
        <v>258</v>
      </c>
      <c r="R53" s="38">
        <v>99999</v>
      </c>
      <c r="S53" s="38" t="s">
        <v>188</v>
      </c>
      <c r="T53" s="38" t="s">
        <v>206</v>
      </c>
      <c r="U53" s="38" t="s">
        <v>294</v>
      </c>
      <c r="V53" s="38" t="s">
        <v>197</v>
      </c>
      <c r="W53" s="41">
        <v>10</v>
      </c>
      <c r="X53" s="38">
        <v>81</v>
      </c>
      <c r="Y53" s="41">
        <v>450</v>
      </c>
      <c r="Z53" s="42">
        <v>62.83</v>
      </c>
    </row>
    <row r="54" spans="1:26" x14ac:dyDescent="0.25">
      <c r="A54" s="38">
        <v>1418</v>
      </c>
      <c r="B54" s="40">
        <v>41980</v>
      </c>
      <c r="C54" s="38">
        <v>7</v>
      </c>
      <c r="D54" s="38" t="s">
        <v>262</v>
      </c>
      <c r="E54" s="38" t="s">
        <v>263</v>
      </c>
      <c r="F54" s="38" t="s">
        <v>264</v>
      </c>
      <c r="G54" s="38" t="s">
        <v>265</v>
      </c>
      <c r="H54" s="38">
        <v>99999</v>
      </c>
      <c r="I54" s="38" t="s">
        <v>188</v>
      </c>
      <c r="J54" s="38" t="s">
        <v>218</v>
      </c>
      <c r="K54" s="38" t="s">
        <v>219</v>
      </c>
      <c r="N54" s="38" t="s">
        <v>266</v>
      </c>
      <c r="O54" s="38" t="s">
        <v>263</v>
      </c>
      <c r="P54" s="38" t="s">
        <v>264</v>
      </c>
      <c r="Q54" s="38" t="s">
        <v>265</v>
      </c>
      <c r="R54" s="38">
        <v>99999</v>
      </c>
      <c r="S54" s="38" t="s">
        <v>188</v>
      </c>
      <c r="W54" s="41"/>
      <c r="Y54" s="41">
        <v>0</v>
      </c>
      <c r="Z54" s="42">
        <v>33</v>
      </c>
    </row>
    <row r="55" spans="1:26" x14ac:dyDescent="0.25">
      <c r="A55" s="38">
        <v>1419</v>
      </c>
      <c r="B55" s="40">
        <v>41983</v>
      </c>
      <c r="C55" s="38">
        <v>10</v>
      </c>
      <c r="D55" s="38" t="s">
        <v>255</v>
      </c>
      <c r="E55" s="38" t="s">
        <v>256</v>
      </c>
      <c r="F55" s="38" t="s">
        <v>257</v>
      </c>
      <c r="G55" s="38" t="s">
        <v>258</v>
      </c>
      <c r="H55" s="38">
        <v>99999</v>
      </c>
      <c r="I55" s="38" t="s">
        <v>188</v>
      </c>
      <c r="J55" s="38" t="s">
        <v>259</v>
      </c>
      <c r="K55" s="38" t="s">
        <v>203</v>
      </c>
      <c r="M55" s="38" t="s">
        <v>204</v>
      </c>
      <c r="N55" s="38" t="s">
        <v>260</v>
      </c>
      <c r="O55" s="38" t="s">
        <v>256</v>
      </c>
      <c r="P55" s="38" t="s">
        <v>257</v>
      </c>
      <c r="Q55" s="38" t="s">
        <v>258</v>
      </c>
      <c r="R55" s="38">
        <v>99999</v>
      </c>
      <c r="S55" s="38" t="s">
        <v>188</v>
      </c>
      <c r="U55" s="38" t="s">
        <v>196</v>
      </c>
      <c r="V55" s="38" t="s">
        <v>197</v>
      </c>
      <c r="W55" s="41">
        <v>3.5</v>
      </c>
      <c r="X55" s="38">
        <v>96</v>
      </c>
      <c r="Y55" s="41">
        <v>301</v>
      </c>
      <c r="Z55" s="42">
        <v>21.315000000000001</v>
      </c>
    </row>
    <row r="56" spans="1:26" x14ac:dyDescent="0.25">
      <c r="A56" s="38">
        <v>1420</v>
      </c>
      <c r="B56" s="40">
        <v>41984</v>
      </c>
      <c r="C56" s="38">
        <v>11</v>
      </c>
      <c r="D56" s="38" t="s">
        <v>271</v>
      </c>
      <c r="E56" s="38" t="s">
        <v>272</v>
      </c>
      <c r="F56" s="38" t="s">
        <v>273</v>
      </c>
      <c r="G56" s="38" t="s">
        <v>274</v>
      </c>
      <c r="H56" s="38">
        <v>99999</v>
      </c>
      <c r="I56" s="38" t="s">
        <v>188</v>
      </c>
      <c r="J56" s="38" t="s">
        <v>252</v>
      </c>
      <c r="K56" s="38" t="s">
        <v>253</v>
      </c>
      <c r="M56" s="38" t="s">
        <v>220</v>
      </c>
      <c r="N56" s="38" t="s">
        <v>275</v>
      </c>
      <c r="O56" s="38" t="s">
        <v>272</v>
      </c>
      <c r="P56" s="38" t="s">
        <v>273</v>
      </c>
      <c r="Q56" s="38" t="s">
        <v>274</v>
      </c>
      <c r="R56" s="38">
        <v>99999</v>
      </c>
      <c r="S56" s="38" t="s">
        <v>188</v>
      </c>
      <c r="U56" s="38" t="s">
        <v>246</v>
      </c>
      <c r="V56" s="38" t="s">
        <v>247</v>
      </c>
      <c r="W56" s="41">
        <v>40</v>
      </c>
      <c r="X56" s="38">
        <v>81</v>
      </c>
      <c r="Y56" s="41">
        <v>3080</v>
      </c>
      <c r="Z56" s="42">
        <v>378</v>
      </c>
    </row>
    <row r="57" spans="1:26" x14ac:dyDescent="0.25">
      <c r="A57" s="38">
        <v>1421</v>
      </c>
      <c r="B57" s="40">
        <v>41974</v>
      </c>
      <c r="C57" s="38">
        <v>1</v>
      </c>
      <c r="D57" s="38" t="s">
        <v>276</v>
      </c>
      <c r="E57" s="38" t="s">
        <v>277</v>
      </c>
      <c r="F57" s="38" t="s">
        <v>278</v>
      </c>
      <c r="G57" s="38" t="s">
        <v>279</v>
      </c>
      <c r="H57" s="38">
        <v>99999</v>
      </c>
      <c r="I57" s="38" t="s">
        <v>188</v>
      </c>
      <c r="J57" s="38" t="s">
        <v>218</v>
      </c>
      <c r="K57" s="38" t="s">
        <v>219</v>
      </c>
      <c r="M57" s="38" t="s">
        <v>220</v>
      </c>
      <c r="N57" s="38" t="s">
        <v>280</v>
      </c>
      <c r="O57" s="38" t="s">
        <v>277</v>
      </c>
      <c r="P57" s="38" t="s">
        <v>278</v>
      </c>
      <c r="Q57" s="38" t="s">
        <v>279</v>
      </c>
      <c r="R57" s="38">
        <v>99999</v>
      </c>
      <c r="S57" s="38" t="s">
        <v>188</v>
      </c>
      <c r="U57" s="38" t="s">
        <v>281</v>
      </c>
      <c r="V57" s="38" t="s">
        <v>282</v>
      </c>
      <c r="W57" s="41">
        <v>18.399999999999999</v>
      </c>
      <c r="X57" s="38">
        <v>88</v>
      </c>
      <c r="Y57" s="41">
        <v>680.8</v>
      </c>
      <c r="Z57" s="42">
        <v>148.13839999999999</v>
      </c>
    </row>
    <row r="58" spans="1:26" x14ac:dyDescent="0.25">
      <c r="A58" s="38">
        <v>1422</v>
      </c>
      <c r="B58" s="40">
        <v>42001</v>
      </c>
      <c r="C58" s="38">
        <v>28</v>
      </c>
      <c r="D58" s="38" t="s">
        <v>248</v>
      </c>
      <c r="E58" s="38" t="s">
        <v>249</v>
      </c>
      <c r="F58" s="38" t="s">
        <v>250</v>
      </c>
      <c r="G58" s="38" t="s">
        <v>251</v>
      </c>
      <c r="H58" s="38">
        <v>99999</v>
      </c>
      <c r="I58" s="38" t="s">
        <v>188</v>
      </c>
      <c r="J58" s="38" t="s">
        <v>252</v>
      </c>
      <c r="K58" s="38" t="s">
        <v>253</v>
      </c>
      <c r="L58" s="40">
        <f t="shared" ref="L58:L66" si="2">B58+2</f>
        <v>42003</v>
      </c>
      <c r="M58" s="38" t="s">
        <v>220</v>
      </c>
      <c r="N58" s="38" t="s">
        <v>254</v>
      </c>
      <c r="O58" s="38" t="s">
        <v>249</v>
      </c>
      <c r="P58" s="38" t="s">
        <v>250</v>
      </c>
      <c r="Q58" s="38" t="s">
        <v>251</v>
      </c>
      <c r="R58" s="38">
        <v>99999</v>
      </c>
      <c r="S58" s="38" t="s">
        <v>188</v>
      </c>
      <c r="T58" s="38" t="s">
        <v>206</v>
      </c>
      <c r="U58" s="38" t="s">
        <v>213</v>
      </c>
      <c r="V58" s="38" t="s">
        <v>195</v>
      </c>
      <c r="W58" s="41">
        <v>46</v>
      </c>
      <c r="X58" s="38">
        <v>92</v>
      </c>
      <c r="Y58" s="41">
        <v>1794</v>
      </c>
      <c r="Z58" s="42">
        <v>365.14800000000002</v>
      </c>
    </row>
    <row r="59" spans="1:26" x14ac:dyDescent="0.25">
      <c r="A59" s="38">
        <v>1423</v>
      </c>
      <c r="B59" s="40">
        <v>41982</v>
      </c>
      <c r="C59" s="38">
        <v>9</v>
      </c>
      <c r="D59" s="38" t="s">
        <v>283</v>
      </c>
      <c r="E59" s="38" t="s">
        <v>284</v>
      </c>
      <c r="F59" s="38" t="s">
        <v>285</v>
      </c>
      <c r="G59" s="38" t="s">
        <v>286</v>
      </c>
      <c r="H59" s="38">
        <v>99999</v>
      </c>
      <c r="I59" s="38" t="s">
        <v>188</v>
      </c>
      <c r="J59" s="38" t="s">
        <v>287</v>
      </c>
      <c r="K59" s="38" t="s">
        <v>190</v>
      </c>
      <c r="L59" s="40">
        <f t="shared" si="2"/>
        <v>41984</v>
      </c>
      <c r="M59" s="38" t="s">
        <v>204</v>
      </c>
      <c r="N59" s="38" t="s">
        <v>288</v>
      </c>
      <c r="O59" s="38" t="s">
        <v>284</v>
      </c>
      <c r="P59" s="38" t="s">
        <v>285</v>
      </c>
      <c r="Q59" s="38" t="s">
        <v>286</v>
      </c>
      <c r="R59" s="38">
        <v>99999</v>
      </c>
      <c r="S59" s="38" t="s">
        <v>188</v>
      </c>
      <c r="T59" s="38" t="s">
        <v>193</v>
      </c>
      <c r="U59" s="38" t="s">
        <v>238</v>
      </c>
      <c r="V59" s="38" t="s">
        <v>239</v>
      </c>
      <c r="W59" s="41">
        <v>9.65</v>
      </c>
      <c r="X59" s="38">
        <v>34</v>
      </c>
      <c r="Y59" s="41">
        <v>530.75</v>
      </c>
      <c r="Z59" s="42">
        <v>68.582550000000012</v>
      </c>
    </row>
    <row r="60" spans="1:26" x14ac:dyDescent="0.25">
      <c r="A60" s="38">
        <v>1424</v>
      </c>
      <c r="B60" s="40">
        <v>41979</v>
      </c>
      <c r="C60" s="38">
        <v>6</v>
      </c>
      <c r="D60" s="38" t="s">
        <v>240</v>
      </c>
      <c r="E60" s="38" t="s">
        <v>241</v>
      </c>
      <c r="F60" s="38" t="s">
        <v>242</v>
      </c>
      <c r="G60" s="38" t="s">
        <v>243</v>
      </c>
      <c r="H60" s="38">
        <v>99999</v>
      </c>
      <c r="I60" s="38" t="s">
        <v>188</v>
      </c>
      <c r="J60" s="38" t="s">
        <v>244</v>
      </c>
      <c r="K60" s="38" t="s">
        <v>219</v>
      </c>
      <c r="L60" s="40">
        <f t="shared" si="2"/>
        <v>41981</v>
      </c>
      <c r="M60" s="38" t="s">
        <v>191</v>
      </c>
      <c r="N60" s="38" t="s">
        <v>245</v>
      </c>
      <c r="O60" s="38" t="s">
        <v>241</v>
      </c>
      <c r="P60" s="38" t="s">
        <v>242</v>
      </c>
      <c r="Q60" s="38" t="s">
        <v>243</v>
      </c>
      <c r="R60" s="38">
        <v>99999</v>
      </c>
      <c r="S60" s="38" t="s">
        <v>188</v>
      </c>
      <c r="T60" s="38" t="s">
        <v>206</v>
      </c>
      <c r="U60" s="38" t="s">
        <v>230</v>
      </c>
      <c r="V60" s="38" t="s">
        <v>231</v>
      </c>
      <c r="W60" s="41">
        <v>12.75</v>
      </c>
      <c r="X60" s="38">
        <v>41</v>
      </c>
      <c r="Y60" s="41">
        <v>1096.5</v>
      </c>
      <c r="Z60" s="42">
        <v>43.783500000000004</v>
      </c>
    </row>
    <row r="61" spans="1:26" x14ac:dyDescent="0.25">
      <c r="A61" s="38">
        <v>1425</v>
      </c>
      <c r="B61" s="40">
        <v>41981</v>
      </c>
      <c r="C61" s="38">
        <v>8</v>
      </c>
      <c r="D61" s="38" t="s">
        <v>214</v>
      </c>
      <c r="E61" s="38" t="s">
        <v>215</v>
      </c>
      <c r="F61" s="38" t="s">
        <v>216</v>
      </c>
      <c r="G61" s="38" t="s">
        <v>217</v>
      </c>
      <c r="H61" s="38">
        <v>99999</v>
      </c>
      <c r="I61" s="38" t="s">
        <v>188</v>
      </c>
      <c r="J61" s="38" t="s">
        <v>218</v>
      </c>
      <c r="K61" s="38" t="s">
        <v>219</v>
      </c>
      <c r="L61" s="40">
        <f t="shared" si="2"/>
        <v>41983</v>
      </c>
      <c r="M61" s="38" t="s">
        <v>191</v>
      </c>
      <c r="N61" s="38" t="s">
        <v>221</v>
      </c>
      <c r="O61" s="38" t="s">
        <v>215</v>
      </c>
      <c r="P61" s="38" t="s">
        <v>216</v>
      </c>
      <c r="Q61" s="38" t="s">
        <v>217</v>
      </c>
      <c r="R61" s="38">
        <v>99999</v>
      </c>
      <c r="S61" s="38" t="s">
        <v>188</v>
      </c>
      <c r="T61" s="38" t="s">
        <v>193</v>
      </c>
      <c r="U61" s="38" t="s">
        <v>230</v>
      </c>
      <c r="V61" s="38" t="s">
        <v>231</v>
      </c>
      <c r="W61" s="41">
        <v>12.75</v>
      </c>
      <c r="X61" s="38">
        <v>67</v>
      </c>
      <c r="Y61" s="41">
        <v>1185.75</v>
      </c>
      <c r="Z61" s="42">
        <v>82.875</v>
      </c>
    </row>
    <row r="62" spans="1:26" x14ac:dyDescent="0.25">
      <c r="A62" s="38">
        <v>1426</v>
      </c>
      <c r="B62" s="40">
        <v>41998</v>
      </c>
      <c r="C62" s="38">
        <v>25</v>
      </c>
      <c r="D62" s="38" t="s">
        <v>295</v>
      </c>
      <c r="E62" s="38" t="s">
        <v>296</v>
      </c>
      <c r="F62" s="38" t="s">
        <v>257</v>
      </c>
      <c r="G62" s="38" t="s">
        <v>258</v>
      </c>
      <c r="H62" s="38">
        <v>99999</v>
      </c>
      <c r="I62" s="38" t="s">
        <v>188</v>
      </c>
      <c r="J62" s="38" t="s">
        <v>259</v>
      </c>
      <c r="K62" s="38" t="s">
        <v>203</v>
      </c>
      <c r="L62" s="40">
        <f t="shared" si="2"/>
        <v>42000</v>
      </c>
      <c r="M62" s="38" t="s">
        <v>204</v>
      </c>
      <c r="N62" s="38" t="s">
        <v>297</v>
      </c>
      <c r="O62" s="38" t="s">
        <v>296</v>
      </c>
      <c r="P62" s="38" t="s">
        <v>257</v>
      </c>
      <c r="Q62" s="38" t="s">
        <v>258</v>
      </c>
      <c r="R62" s="38">
        <v>99999</v>
      </c>
      <c r="S62" s="38" t="s">
        <v>188</v>
      </c>
      <c r="T62" s="38" t="s">
        <v>237</v>
      </c>
      <c r="U62" s="38" t="s">
        <v>269</v>
      </c>
      <c r="V62" s="38" t="s">
        <v>270</v>
      </c>
      <c r="W62" s="41">
        <v>22</v>
      </c>
      <c r="X62" s="38">
        <v>74</v>
      </c>
      <c r="Y62" s="41">
        <v>1166</v>
      </c>
      <c r="Z62" s="42">
        <v>84.47999999999999</v>
      </c>
    </row>
    <row r="63" spans="1:26" x14ac:dyDescent="0.25">
      <c r="A63" s="38">
        <v>1427</v>
      </c>
      <c r="B63" s="40">
        <v>41999</v>
      </c>
      <c r="C63" s="38">
        <v>26</v>
      </c>
      <c r="D63" s="38" t="s">
        <v>298</v>
      </c>
      <c r="E63" s="38" t="s">
        <v>299</v>
      </c>
      <c r="F63" s="38" t="s">
        <v>273</v>
      </c>
      <c r="G63" s="38" t="s">
        <v>274</v>
      </c>
      <c r="H63" s="38">
        <v>99999</v>
      </c>
      <c r="I63" s="38" t="s">
        <v>188</v>
      </c>
      <c r="J63" s="38" t="s">
        <v>252</v>
      </c>
      <c r="K63" s="38" t="s">
        <v>253</v>
      </c>
      <c r="L63" s="40">
        <f t="shared" si="2"/>
        <v>42001</v>
      </c>
      <c r="M63" s="38" t="s">
        <v>220</v>
      </c>
      <c r="N63" s="38" t="s">
        <v>300</v>
      </c>
      <c r="O63" s="38" t="s">
        <v>299</v>
      </c>
      <c r="P63" s="38" t="s">
        <v>273</v>
      </c>
      <c r="Q63" s="38" t="s">
        <v>274</v>
      </c>
      <c r="R63" s="38">
        <v>99999</v>
      </c>
      <c r="S63" s="38" t="s">
        <v>188</v>
      </c>
      <c r="T63" s="38" t="s">
        <v>206</v>
      </c>
      <c r="U63" s="38" t="s">
        <v>267</v>
      </c>
      <c r="V63" s="38" t="s">
        <v>268</v>
      </c>
      <c r="W63" s="41">
        <v>25</v>
      </c>
      <c r="X63" s="38">
        <v>24</v>
      </c>
      <c r="Y63" s="41">
        <v>1550</v>
      </c>
      <c r="Z63" s="42">
        <v>164.15</v>
      </c>
    </row>
    <row r="64" spans="1:26" x14ac:dyDescent="0.25">
      <c r="A64" s="38">
        <v>1428</v>
      </c>
      <c r="B64" s="40">
        <v>42002</v>
      </c>
      <c r="C64" s="38">
        <v>29</v>
      </c>
      <c r="D64" s="38" t="s">
        <v>224</v>
      </c>
      <c r="E64" s="38" t="s">
        <v>225</v>
      </c>
      <c r="F64" s="38" t="s">
        <v>226</v>
      </c>
      <c r="G64" s="38" t="s">
        <v>227</v>
      </c>
      <c r="H64" s="38">
        <v>99999</v>
      </c>
      <c r="I64" s="38" t="s">
        <v>188</v>
      </c>
      <c r="J64" s="38" t="s">
        <v>228</v>
      </c>
      <c r="K64" s="38" t="s">
        <v>190</v>
      </c>
      <c r="L64" s="40">
        <f t="shared" si="2"/>
        <v>42004</v>
      </c>
      <c r="M64" s="38" t="s">
        <v>191</v>
      </c>
      <c r="N64" s="38" t="s">
        <v>229</v>
      </c>
      <c r="O64" s="38" t="s">
        <v>225</v>
      </c>
      <c r="P64" s="38" t="s">
        <v>226</v>
      </c>
      <c r="Q64" s="38" t="s">
        <v>227</v>
      </c>
      <c r="R64" s="38">
        <v>99999</v>
      </c>
      <c r="S64" s="38" t="s">
        <v>188</v>
      </c>
      <c r="T64" s="38" t="s">
        <v>193</v>
      </c>
      <c r="U64" s="38" t="s">
        <v>301</v>
      </c>
      <c r="V64" s="38" t="s">
        <v>302</v>
      </c>
      <c r="W64" s="41">
        <v>39</v>
      </c>
      <c r="X64" s="38">
        <v>41</v>
      </c>
      <c r="Y64" s="41">
        <v>546</v>
      </c>
      <c r="Z64" s="42">
        <v>193.01100000000002</v>
      </c>
    </row>
    <row r="65" spans="1:26" x14ac:dyDescent="0.25">
      <c r="A65" s="38">
        <v>1429</v>
      </c>
      <c r="B65" s="40">
        <v>41979</v>
      </c>
      <c r="C65" s="38">
        <v>6</v>
      </c>
      <c r="D65" s="38" t="s">
        <v>240</v>
      </c>
      <c r="E65" s="38" t="s">
        <v>241</v>
      </c>
      <c r="F65" s="38" t="s">
        <v>242</v>
      </c>
      <c r="G65" s="38" t="s">
        <v>243</v>
      </c>
      <c r="H65" s="38">
        <v>99999</v>
      </c>
      <c r="I65" s="38" t="s">
        <v>188</v>
      </c>
      <c r="J65" s="38" t="s">
        <v>244</v>
      </c>
      <c r="K65" s="38" t="s">
        <v>219</v>
      </c>
      <c r="L65" s="40">
        <f t="shared" si="2"/>
        <v>41981</v>
      </c>
      <c r="M65" s="38" t="s">
        <v>220</v>
      </c>
      <c r="N65" s="38" t="s">
        <v>245</v>
      </c>
      <c r="O65" s="38" t="s">
        <v>241</v>
      </c>
      <c r="P65" s="38" t="s">
        <v>242</v>
      </c>
      <c r="Q65" s="38" t="s">
        <v>243</v>
      </c>
      <c r="R65" s="38">
        <v>99999</v>
      </c>
      <c r="S65" s="38" t="s">
        <v>188</v>
      </c>
      <c r="T65" s="38" t="s">
        <v>193</v>
      </c>
      <c r="U65" s="38" t="s">
        <v>207</v>
      </c>
      <c r="V65" s="38" t="s">
        <v>197</v>
      </c>
      <c r="W65" s="41">
        <v>30</v>
      </c>
      <c r="X65" s="38">
        <v>12</v>
      </c>
      <c r="Y65" s="41">
        <v>2190</v>
      </c>
      <c r="Z65" s="42">
        <v>200.85</v>
      </c>
    </row>
    <row r="66" spans="1:26" x14ac:dyDescent="0.25">
      <c r="A66" s="38">
        <v>1430</v>
      </c>
      <c r="B66" s="40">
        <v>41979</v>
      </c>
      <c r="C66" s="38">
        <v>6</v>
      </c>
      <c r="D66" s="38" t="s">
        <v>240</v>
      </c>
      <c r="E66" s="38" t="s">
        <v>241</v>
      </c>
      <c r="F66" s="38" t="s">
        <v>242</v>
      </c>
      <c r="G66" s="38" t="s">
        <v>243</v>
      </c>
      <c r="H66" s="38">
        <v>99999</v>
      </c>
      <c r="I66" s="38" t="s">
        <v>188</v>
      </c>
      <c r="J66" s="38" t="s">
        <v>244</v>
      </c>
      <c r="K66" s="38" t="s">
        <v>219</v>
      </c>
      <c r="L66" s="40">
        <f t="shared" si="2"/>
        <v>41981</v>
      </c>
      <c r="M66" s="38" t="s">
        <v>220</v>
      </c>
      <c r="N66" s="38" t="s">
        <v>245</v>
      </c>
      <c r="O66" s="38" t="s">
        <v>241</v>
      </c>
      <c r="P66" s="38" t="s">
        <v>242</v>
      </c>
      <c r="Q66" s="38" t="s">
        <v>243</v>
      </c>
      <c r="R66" s="38">
        <v>99999</v>
      </c>
      <c r="S66" s="38" t="s">
        <v>188</v>
      </c>
      <c r="T66" s="38" t="s">
        <v>193</v>
      </c>
      <c r="U66" s="38" t="s">
        <v>208</v>
      </c>
      <c r="V66" s="38" t="s">
        <v>197</v>
      </c>
      <c r="W66" s="41">
        <v>53</v>
      </c>
      <c r="X66" s="38">
        <v>68</v>
      </c>
      <c r="Y66" s="41">
        <v>3763</v>
      </c>
      <c r="Z66" s="42">
        <v>225.62100000000001</v>
      </c>
    </row>
    <row r="67" spans="1:26" x14ac:dyDescent="0.25">
      <c r="A67" s="38">
        <v>1431</v>
      </c>
      <c r="B67" s="40">
        <v>41977</v>
      </c>
      <c r="C67" s="38">
        <v>4</v>
      </c>
      <c r="D67" s="38" t="s">
        <v>198</v>
      </c>
      <c r="E67" s="38" t="s">
        <v>199</v>
      </c>
      <c r="F67" s="38" t="s">
        <v>200</v>
      </c>
      <c r="G67" s="38" t="s">
        <v>201</v>
      </c>
      <c r="H67" s="38">
        <v>99999</v>
      </c>
      <c r="I67" s="38" t="s">
        <v>188</v>
      </c>
      <c r="J67" s="38" t="s">
        <v>202</v>
      </c>
      <c r="K67" s="38" t="s">
        <v>203</v>
      </c>
      <c r="N67" s="38" t="s">
        <v>205</v>
      </c>
      <c r="O67" s="38" t="s">
        <v>199</v>
      </c>
      <c r="P67" s="38" t="s">
        <v>200</v>
      </c>
      <c r="Q67" s="38" t="s">
        <v>201</v>
      </c>
      <c r="R67" s="38">
        <v>99999</v>
      </c>
      <c r="S67" s="38" t="s">
        <v>188</v>
      </c>
      <c r="U67" s="38" t="s">
        <v>303</v>
      </c>
      <c r="V67" s="38" t="s">
        <v>290</v>
      </c>
      <c r="W67" s="41">
        <v>38</v>
      </c>
      <c r="X67" s="38">
        <v>33</v>
      </c>
      <c r="Y67" s="43">
        <v>2812</v>
      </c>
      <c r="Z67" s="42">
        <v>175.02800000000002</v>
      </c>
    </row>
    <row r="68" spans="1:26" x14ac:dyDescent="0.25">
      <c r="A68" s="38">
        <v>1432</v>
      </c>
      <c r="B68" s="40">
        <v>41976</v>
      </c>
      <c r="C68" s="38">
        <v>3</v>
      </c>
      <c r="D68" s="38" t="s">
        <v>232</v>
      </c>
      <c r="E68" s="38" t="s">
        <v>233</v>
      </c>
      <c r="F68" s="38" t="s">
        <v>234</v>
      </c>
      <c r="G68" s="38" t="s">
        <v>235</v>
      </c>
      <c r="H68" s="38">
        <v>99999</v>
      </c>
      <c r="I68" s="38" t="s">
        <v>188</v>
      </c>
      <c r="J68" s="38" t="s">
        <v>189</v>
      </c>
      <c r="K68" s="38" t="s">
        <v>190</v>
      </c>
      <c r="N68" s="38" t="s">
        <v>236</v>
      </c>
      <c r="O68" s="38" t="s">
        <v>233</v>
      </c>
      <c r="P68" s="38" t="s">
        <v>234</v>
      </c>
      <c r="Q68" s="38" t="s">
        <v>235</v>
      </c>
      <c r="R68" s="38">
        <v>99999</v>
      </c>
      <c r="S68" s="38" t="s">
        <v>188</v>
      </c>
      <c r="U68" s="38" t="s">
        <v>261</v>
      </c>
      <c r="V68" s="38" t="s">
        <v>195</v>
      </c>
      <c r="W68" s="41">
        <v>2.99</v>
      </c>
      <c r="X68" s="38">
        <v>12</v>
      </c>
      <c r="Y68" s="41">
        <v>296.01000000000005</v>
      </c>
      <c r="Z68" s="42">
        <v>17.042999999999999</v>
      </c>
    </row>
  </sheetData>
  <autoFilter ref="A3:Z68" xr:uid="{00000000-0009-0000-0000-000009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959FD-ADD1-4EFF-89F7-FEF3476E072E}">
  <sheetPr codeName="Sheet7"/>
  <dimension ref="A1:C8"/>
  <sheetViews>
    <sheetView zoomScale="205" zoomScaleNormal="205" workbookViewId="0">
      <selection activeCell="B6" sqref="B6"/>
    </sheetView>
  </sheetViews>
  <sheetFormatPr defaultRowHeight="15" x14ac:dyDescent="0.25"/>
  <cols>
    <col min="1" max="1" width="13.140625" bestFit="1" customWidth="1"/>
    <col min="2" max="2" width="9.7109375" bestFit="1" customWidth="1"/>
    <col min="3" max="3" width="13.140625" bestFit="1" customWidth="1"/>
    <col min="4" max="370" width="6.140625" bestFit="1" customWidth="1"/>
    <col min="371" max="371" width="11.28515625" bestFit="1" customWidth="1"/>
  </cols>
  <sheetData>
    <row r="1" spans="1:3" x14ac:dyDescent="0.25">
      <c r="A1" s="133" t="s">
        <v>168</v>
      </c>
      <c r="B1" t="s">
        <v>761</v>
      </c>
    </row>
    <row r="3" spans="1:3" x14ac:dyDescent="0.25">
      <c r="A3" s="133" t="s">
        <v>759</v>
      </c>
      <c r="B3" t="s">
        <v>767</v>
      </c>
      <c r="C3" t="s">
        <v>762</v>
      </c>
    </row>
    <row r="4" spans="1:3" x14ac:dyDescent="0.25">
      <c r="A4" s="86" t="s">
        <v>766</v>
      </c>
      <c r="B4" s="135">
        <v>0.45534299953364787</v>
      </c>
      <c r="C4" s="35">
        <v>9904.5334999999977</v>
      </c>
    </row>
    <row r="5" spans="1:3" x14ac:dyDescent="0.25">
      <c r="A5" s="86" t="s">
        <v>763</v>
      </c>
      <c r="B5" s="135">
        <v>0.25182131986453726</v>
      </c>
      <c r="C5" s="35">
        <v>5477.5690000000004</v>
      </c>
    </row>
    <row r="6" spans="1:3" x14ac:dyDescent="0.25">
      <c r="A6" s="86" t="s">
        <v>764</v>
      </c>
      <c r="B6" s="135">
        <v>0.18047467594417901</v>
      </c>
      <c r="C6" s="35">
        <v>3925.6505000000006</v>
      </c>
    </row>
    <row r="7" spans="1:3" x14ac:dyDescent="0.25">
      <c r="A7" s="86" t="s">
        <v>765</v>
      </c>
      <c r="B7" s="135">
        <v>0.11236100465763582</v>
      </c>
      <c r="C7" s="35">
        <v>2444.0549999999998</v>
      </c>
    </row>
    <row r="8" spans="1:3" x14ac:dyDescent="0.25">
      <c r="A8" s="86" t="s">
        <v>704</v>
      </c>
      <c r="B8" s="135">
        <v>1</v>
      </c>
      <c r="C8" s="35">
        <v>21751.808000000001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E7B36-E8F0-456C-A882-4618CEBD07B2}">
  <sheetPr codeName="Sheet8"/>
  <dimension ref="A3:B16"/>
  <sheetViews>
    <sheetView workbookViewId="0">
      <selection activeCell="A3" sqref="A3"/>
    </sheetView>
  </sheetViews>
  <sheetFormatPr defaultRowHeight="15" x14ac:dyDescent="0.25"/>
  <cols>
    <col min="1" max="1" width="16.42578125" bestFit="1" customWidth="1"/>
    <col min="2" max="2" width="15.5703125" bestFit="1" customWidth="1"/>
  </cols>
  <sheetData>
    <row r="3" spans="1:2" x14ac:dyDescent="0.25">
      <c r="A3" s="133" t="s">
        <v>759</v>
      </c>
      <c r="B3" t="s">
        <v>760</v>
      </c>
    </row>
    <row r="4" spans="1:2" x14ac:dyDescent="0.25">
      <c r="A4" s="86" t="s">
        <v>202</v>
      </c>
      <c r="B4" s="134">
        <v>67180.5</v>
      </c>
    </row>
    <row r="5" spans="1:2" x14ac:dyDescent="0.25">
      <c r="A5" s="86" t="s">
        <v>252</v>
      </c>
      <c r="B5" s="134">
        <v>93848.329999999987</v>
      </c>
    </row>
    <row r="6" spans="1:2" x14ac:dyDescent="0.25">
      <c r="A6" s="86" t="s">
        <v>228</v>
      </c>
      <c r="B6" s="134">
        <v>16350.5</v>
      </c>
    </row>
    <row r="7" spans="1:2" x14ac:dyDescent="0.25">
      <c r="A7" s="86" t="s">
        <v>259</v>
      </c>
      <c r="B7" s="134">
        <v>41095.01</v>
      </c>
    </row>
    <row r="8" spans="1:2" x14ac:dyDescent="0.25">
      <c r="A8" s="86" t="s">
        <v>189</v>
      </c>
      <c r="B8" s="134">
        <v>42370.880000000005</v>
      </c>
    </row>
    <row r="9" spans="1:2" x14ac:dyDescent="0.25">
      <c r="A9" s="86" t="s">
        <v>244</v>
      </c>
      <c r="B9" s="134">
        <v>37418</v>
      </c>
    </row>
    <row r="10" spans="1:2" x14ac:dyDescent="0.25">
      <c r="A10" s="86" t="s">
        <v>218</v>
      </c>
      <c r="B10" s="134">
        <v>104242.33999999997</v>
      </c>
    </row>
    <row r="11" spans="1:2" x14ac:dyDescent="0.25">
      <c r="A11" s="86" t="s">
        <v>287</v>
      </c>
      <c r="B11" s="134">
        <v>32530.6</v>
      </c>
    </row>
    <row r="12" spans="1:2" x14ac:dyDescent="0.25">
      <c r="A12" s="86" t="s">
        <v>766</v>
      </c>
      <c r="B12" s="134">
        <v>198090.66999999995</v>
      </c>
    </row>
    <row r="13" spans="1:2" x14ac:dyDescent="0.25">
      <c r="A13" s="86" t="s">
        <v>763</v>
      </c>
      <c r="B13" s="134">
        <v>109551.38</v>
      </c>
    </row>
    <row r="14" spans="1:2" x14ac:dyDescent="0.25">
      <c r="A14" s="86" t="s">
        <v>764</v>
      </c>
      <c r="B14" s="134">
        <v>78513.010000000009</v>
      </c>
    </row>
    <row r="15" spans="1:2" x14ac:dyDescent="0.25">
      <c r="A15" s="86" t="s">
        <v>765</v>
      </c>
      <c r="B15" s="134">
        <v>48881.1</v>
      </c>
    </row>
    <row r="16" spans="1:2" x14ac:dyDescent="0.25">
      <c r="A16" s="86" t="s">
        <v>704</v>
      </c>
      <c r="B16" s="134">
        <v>870072.31999999983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A36F8-7300-420A-A19D-CDEEA2CBC2F1}">
  <sheetPr codeName="Sheet9">
    <tabColor theme="1" tint="4.9989318521683403E-2"/>
  </sheetPr>
  <dimension ref="A1:Z372"/>
  <sheetViews>
    <sheetView zoomScaleNormal="100" workbookViewId="0">
      <pane ySplit="3" topLeftCell="A4" activePane="bottomLeft" state="frozen"/>
      <selection pane="bottomLeft" activeCell="G21" sqref="G21"/>
    </sheetView>
  </sheetViews>
  <sheetFormatPr defaultRowHeight="15" x14ac:dyDescent="0.25"/>
  <cols>
    <col min="1" max="1" width="10.5703125" customWidth="1"/>
    <col min="2" max="2" width="12.85546875" customWidth="1"/>
    <col min="3" max="3" width="14.140625" bestFit="1" customWidth="1"/>
    <col min="4" max="4" width="17.42578125" customWidth="1"/>
    <col min="5" max="5" width="14.28515625" bestFit="1" customWidth="1"/>
    <col min="6" max="6" width="12.5703125" bestFit="1" customWidth="1"/>
    <col min="7" max="7" width="7.7109375" customWidth="1"/>
    <col min="8" max="9" width="17.140625" customWidth="1"/>
    <col min="10" max="10" width="19.7109375" bestFit="1" customWidth="1"/>
    <col min="11" max="11" width="9.28515625" customWidth="1"/>
    <col min="12" max="12" width="15" customWidth="1"/>
    <col min="13" max="13" width="19.5703125" bestFit="1" customWidth="1"/>
    <col min="14" max="14" width="21.5703125" bestFit="1" customWidth="1"/>
    <col min="15" max="15" width="14.5703125" customWidth="1"/>
    <col min="16" max="16" width="12.5703125" bestFit="1" customWidth="1"/>
    <col min="17" max="17" width="12" customWidth="1"/>
    <col min="18" max="19" width="21.42578125" customWidth="1"/>
    <col min="20" max="20" width="15.7109375" customWidth="1"/>
    <col min="21" max="21" width="21" bestFit="1" customWidth="1"/>
    <col min="22" max="22" width="25" bestFit="1" customWidth="1"/>
    <col min="23" max="23" width="11.85546875" customWidth="1"/>
    <col min="24" max="24" width="10.85546875" customWidth="1"/>
    <col min="25" max="25" width="11.5703125" bestFit="1" customWidth="1"/>
    <col min="26" max="26" width="14.5703125" customWidth="1"/>
  </cols>
  <sheetData>
    <row r="1" spans="1:26" ht="18.75" x14ac:dyDescent="0.3">
      <c r="A1" s="32" t="s">
        <v>157</v>
      </c>
    </row>
    <row r="3" spans="1:26" x14ac:dyDescent="0.25">
      <c r="A3" s="33" t="s">
        <v>158</v>
      </c>
      <c r="B3" s="33" t="s">
        <v>159</v>
      </c>
      <c r="C3" s="33" t="s">
        <v>160</v>
      </c>
      <c r="D3" s="33" t="s">
        <v>161</v>
      </c>
      <c r="E3" s="33" t="s">
        <v>162</v>
      </c>
      <c r="F3" s="33" t="s">
        <v>163</v>
      </c>
      <c r="G3" s="33" t="s">
        <v>164</v>
      </c>
      <c r="H3" s="33" t="s">
        <v>165</v>
      </c>
      <c r="I3" s="33" t="s">
        <v>166</v>
      </c>
      <c r="J3" s="33" t="s">
        <v>167</v>
      </c>
      <c r="K3" s="33" t="s">
        <v>168</v>
      </c>
      <c r="L3" s="33" t="s">
        <v>169</v>
      </c>
      <c r="M3" s="33" t="s">
        <v>170</v>
      </c>
      <c r="N3" s="33" t="s">
        <v>171</v>
      </c>
      <c r="O3" s="33" t="s">
        <v>172</v>
      </c>
      <c r="P3" s="33" t="s">
        <v>173</v>
      </c>
      <c r="Q3" s="33" t="s">
        <v>174</v>
      </c>
      <c r="R3" s="33" t="s">
        <v>175</v>
      </c>
      <c r="S3" s="33" t="s">
        <v>176</v>
      </c>
      <c r="T3" s="33" t="s">
        <v>177</v>
      </c>
      <c r="U3" s="33" t="s">
        <v>178</v>
      </c>
      <c r="V3" s="33" t="s">
        <v>179</v>
      </c>
      <c r="W3" s="33" t="s">
        <v>180</v>
      </c>
      <c r="X3" s="33" t="s">
        <v>181</v>
      </c>
      <c r="Y3" s="33" t="s">
        <v>182</v>
      </c>
      <c r="Z3" s="33" t="s">
        <v>183</v>
      </c>
    </row>
    <row r="4" spans="1:26" x14ac:dyDescent="0.25">
      <c r="A4">
        <v>1001</v>
      </c>
      <c r="B4" s="34">
        <v>41666</v>
      </c>
      <c r="C4">
        <v>27</v>
      </c>
      <c r="D4" t="s">
        <v>184</v>
      </c>
      <c r="E4" t="s">
        <v>185</v>
      </c>
      <c r="F4" t="s">
        <v>186</v>
      </c>
      <c r="G4" t="s">
        <v>187</v>
      </c>
      <c r="H4">
        <v>99999</v>
      </c>
      <c r="I4" t="s">
        <v>188</v>
      </c>
      <c r="J4" t="s">
        <v>189</v>
      </c>
      <c r="K4" t="s">
        <v>190</v>
      </c>
      <c r="L4" s="34">
        <v>41668</v>
      </c>
      <c r="M4" t="s">
        <v>191</v>
      </c>
      <c r="N4" t="s">
        <v>192</v>
      </c>
      <c r="O4" t="s">
        <v>185</v>
      </c>
      <c r="P4" t="s">
        <v>186</v>
      </c>
      <c r="Q4" t="s">
        <v>187</v>
      </c>
      <c r="R4">
        <v>99999</v>
      </c>
      <c r="S4" t="s">
        <v>188</v>
      </c>
      <c r="T4" t="s">
        <v>193</v>
      </c>
      <c r="U4" t="s">
        <v>194</v>
      </c>
      <c r="V4" t="s">
        <v>195</v>
      </c>
      <c r="W4" s="35">
        <v>14</v>
      </c>
      <c r="X4">
        <v>49</v>
      </c>
      <c r="Y4" s="36">
        <v>686</v>
      </c>
      <c r="Z4" s="35">
        <v>66.542000000000002</v>
      </c>
    </row>
    <row r="5" spans="1:26" x14ac:dyDescent="0.25">
      <c r="A5">
        <v>1002</v>
      </c>
      <c r="B5" s="34">
        <v>41666</v>
      </c>
      <c r="C5">
        <v>27</v>
      </c>
      <c r="D5" t="s">
        <v>184</v>
      </c>
      <c r="E5" t="s">
        <v>185</v>
      </c>
      <c r="F5" t="s">
        <v>186</v>
      </c>
      <c r="G5" t="s">
        <v>187</v>
      </c>
      <c r="H5">
        <v>99999</v>
      </c>
      <c r="I5" t="s">
        <v>188</v>
      </c>
      <c r="J5" t="s">
        <v>189</v>
      </c>
      <c r="K5" t="s">
        <v>190</v>
      </c>
      <c r="L5" s="34">
        <v>41668</v>
      </c>
      <c r="M5" t="s">
        <v>191</v>
      </c>
      <c r="N5" t="s">
        <v>192</v>
      </c>
      <c r="O5" t="s">
        <v>185</v>
      </c>
      <c r="P5" t="s">
        <v>186</v>
      </c>
      <c r="Q5" t="s">
        <v>187</v>
      </c>
      <c r="R5">
        <v>99999</v>
      </c>
      <c r="S5" t="s">
        <v>188</v>
      </c>
      <c r="T5" t="s">
        <v>193</v>
      </c>
      <c r="U5" t="s">
        <v>196</v>
      </c>
      <c r="V5" t="s">
        <v>197</v>
      </c>
      <c r="W5" s="35">
        <v>3.5</v>
      </c>
      <c r="X5">
        <v>47</v>
      </c>
      <c r="Y5" s="36">
        <v>164.5</v>
      </c>
      <c r="Z5" s="35">
        <v>16.6145</v>
      </c>
    </row>
    <row r="6" spans="1:26" x14ac:dyDescent="0.25">
      <c r="A6">
        <v>1003</v>
      </c>
      <c r="B6" s="34">
        <v>41643</v>
      </c>
      <c r="C6">
        <v>4</v>
      </c>
      <c r="D6" t="s">
        <v>198</v>
      </c>
      <c r="E6" t="s">
        <v>199</v>
      </c>
      <c r="F6" t="s">
        <v>200</v>
      </c>
      <c r="G6" t="s">
        <v>201</v>
      </c>
      <c r="H6">
        <v>99999</v>
      </c>
      <c r="I6" t="s">
        <v>188</v>
      </c>
      <c r="J6" t="s">
        <v>202</v>
      </c>
      <c r="K6" t="s">
        <v>203</v>
      </c>
      <c r="L6" s="34">
        <v>41645</v>
      </c>
      <c r="M6" t="s">
        <v>204</v>
      </c>
      <c r="N6" t="s">
        <v>205</v>
      </c>
      <c r="O6" t="s">
        <v>199</v>
      </c>
      <c r="P6" t="s">
        <v>200</v>
      </c>
      <c r="Q6" t="s">
        <v>201</v>
      </c>
      <c r="R6">
        <v>99999</v>
      </c>
      <c r="S6" t="s">
        <v>188</v>
      </c>
      <c r="T6" t="s">
        <v>206</v>
      </c>
      <c r="U6" t="s">
        <v>207</v>
      </c>
      <c r="V6" t="s">
        <v>197</v>
      </c>
      <c r="W6" s="35">
        <v>30</v>
      </c>
      <c r="X6">
        <v>69</v>
      </c>
      <c r="Y6" s="36">
        <v>2070</v>
      </c>
      <c r="Z6" s="35">
        <v>198.72</v>
      </c>
    </row>
    <row r="7" spans="1:26" x14ac:dyDescent="0.25">
      <c r="A7">
        <v>1004</v>
      </c>
      <c r="B7" s="34">
        <v>41643</v>
      </c>
      <c r="C7">
        <v>4</v>
      </c>
      <c r="D7" t="s">
        <v>198</v>
      </c>
      <c r="E7" t="s">
        <v>199</v>
      </c>
      <c r="F7" t="s">
        <v>200</v>
      </c>
      <c r="G7" t="s">
        <v>201</v>
      </c>
      <c r="H7">
        <v>99999</v>
      </c>
      <c r="I7" t="s">
        <v>188</v>
      </c>
      <c r="J7" t="s">
        <v>202</v>
      </c>
      <c r="K7" t="s">
        <v>203</v>
      </c>
      <c r="L7" s="34">
        <v>41645</v>
      </c>
      <c r="M7" t="s">
        <v>204</v>
      </c>
      <c r="N7" t="s">
        <v>205</v>
      </c>
      <c r="O7" t="s">
        <v>199</v>
      </c>
      <c r="P7" t="s">
        <v>200</v>
      </c>
      <c r="Q7" t="s">
        <v>201</v>
      </c>
      <c r="R7">
        <v>99999</v>
      </c>
      <c r="S7" t="s">
        <v>188</v>
      </c>
      <c r="T7" t="s">
        <v>206</v>
      </c>
      <c r="U7" t="s">
        <v>208</v>
      </c>
      <c r="V7" t="s">
        <v>197</v>
      </c>
      <c r="W7" s="35">
        <v>53</v>
      </c>
      <c r="X7">
        <v>89</v>
      </c>
      <c r="Y7" s="36">
        <v>4717</v>
      </c>
      <c r="Z7" s="35">
        <v>448.11500000000001</v>
      </c>
    </row>
    <row r="8" spans="1:26" x14ac:dyDescent="0.25">
      <c r="A8">
        <v>1005</v>
      </c>
      <c r="B8" s="34">
        <v>41643</v>
      </c>
      <c r="C8">
        <v>4</v>
      </c>
      <c r="D8" t="s">
        <v>198</v>
      </c>
      <c r="E8" t="s">
        <v>199</v>
      </c>
      <c r="F8" t="s">
        <v>200</v>
      </c>
      <c r="G8" t="s">
        <v>201</v>
      </c>
      <c r="H8">
        <v>99999</v>
      </c>
      <c r="I8" t="s">
        <v>188</v>
      </c>
      <c r="J8" t="s">
        <v>202</v>
      </c>
      <c r="K8" t="s">
        <v>203</v>
      </c>
      <c r="L8" s="34">
        <v>41645</v>
      </c>
      <c r="M8" t="s">
        <v>204</v>
      </c>
      <c r="N8" t="s">
        <v>205</v>
      </c>
      <c r="O8" t="s">
        <v>199</v>
      </c>
      <c r="P8" t="s">
        <v>200</v>
      </c>
      <c r="Q8" t="s">
        <v>201</v>
      </c>
      <c r="R8">
        <v>99999</v>
      </c>
      <c r="S8" t="s">
        <v>188</v>
      </c>
      <c r="T8" t="s">
        <v>206</v>
      </c>
      <c r="U8" t="s">
        <v>196</v>
      </c>
      <c r="V8" t="s">
        <v>197</v>
      </c>
      <c r="W8" s="35">
        <v>3.5</v>
      </c>
      <c r="X8">
        <v>11</v>
      </c>
      <c r="Y8" s="36">
        <v>38.5</v>
      </c>
      <c r="Z8" s="35">
        <v>3.7345000000000002</v>
      </c>
    </row>
    <row r="9" spans="1:26" x14ac:dyDescent="0.25">
      <c r="A9">
        <v>1006</v>
      </c>
      <c r="B9" s="34">
        <v>41651</v>
      </c>
      <c r="C9">
        <v>12</v>
      </c>
      <c r="D9" t="s">
        <v>209</v>
      </c>
      <c r="E9" t="s">
        <v>210</v>
      </c>
      <c r="F9" t="s">
        <v>186</v>
      </c>
      <c r="G9" t="s">
        <v>187</v>
      </c>
      <c r="H9">
        <v>99999</v>
      </c>
      <c r="I9" t="s">
        <v>188</v>
      </c>
      <c r="J9" t="s">
        <v>189</v>
      </c>
      <c r="K9" t="s">
        <v>190</v>
      </c>
      <c r="L9" s="34">
        <v>41653</v>
      </c>
      <c r="M9" t="s">
        <v>191</v>
      </c>
      <c r="N9" t="s">
        <v>211</v>
      </c>
      <c r="O9" t="s">
        <v>210</v>
      </c>
      <c r="P9" t="s">
        <v>186</v>
      </c>
      <c r="Q9" t="s">
        <v>187</v>
      </c>
      <c r="R9">
        <v>99999</v>
      </c>
      <c r="S9" t="s">
        <v>188</v>
      </c>
      <c r="T9" t="s">
        <v>206</v>
      </c>
      <c r="U9" t="s">
        <v>212</v>
      </c>
      <c r="V9" t="s">
        <v>195</v>
      </c>
      <c r="W9" s="35">
        <v>18</v>
      </c>
      <c r="X9">
        <v>81</v>
      </c>
      <c r="Y9" s="36">
        <v>1458</v>
      </c>
      <c r="Z9" s="35">
        <v>141.42600000000002</v>
      </c>
    </row>
    <row r="10" spans="1:26" x14ac:dyDescent="0.25">
      <c r="A10">
        <v>1007</v>
      </c>
      <c r="B10" s="34">
        <v>41651</v>
      </c>
      <c r="C10">
        <v>12</v>
      </c>
      <c r="D10" t="s">
        <v>209</v>
      </c>
      <c r="E10" t="s">
        <v>210</v>
      </c>
      <c r="F10" t="s">
        <v>186</v>
      </c>
      <c r="G10" t="s">
        <v>187</v>
      </c>
      <c r="H10">
        <v>99999</v>
      </c>
      <c r="I10" t="s">
        <v>188</v>
      </c>
      <c r="J10" t="s">
        <v>189</v>
      </c>
      <c r="K10" t="s">
        <v>190</v>
      </c>
      <c r="L10" s="34">
        <v>41653</v>
      </c>
      <c r="M10" t="s">
        <v>191</v>
      </c>
      <c r="N10" t="s">
        <v>211</v>
      </c>
      <c r="O10" t="s">
        <v>210</v>
      </c>
      <c r="P10" t="s">
        <v>186</v>
      </c>
      <c r="Q10" t="s">
        <v>187</v>
      </c>
      <c r="R10">
        <v>99999</v>
      </c>
      <c r="S10" t="s">
        <v>188</v>
      </c>
      <c r="T10" t="s">
        <v>206</v>
      </c>
      <c r="U10" t="s">
        <v>213</v>
      </c>
      <c r="V10" t="s">
        <v>195</v>
      </c>
      <c r="W10" s="35">
        <v>46</v>
      </c>
      <c r="X10">
        <v>44</v>
      </c>
      <c r="Y10" s="36">
        <v>2024</v>
      </c>
      <c r="Z10" s="35">
        <v>198.352</v>
      </c>
    </row>
    <row r="11" spans="1:26" x14ac:dyDescent="0.25">
      <c r="A11">
        <v>1008</v>
      </c>
      <c r="B11" s="34">
        <v>41647</v>
      </c>
      <c r="C11">
        <v>8</v>
      </c>
      <c r="D11" t="s">
        <v>214</v>
      </c>
      <c r="E11" t="s">
        <v>215</v>
      </c>
      <c r="F11" t="s">
        <v>216</v>
      </c>
      <c r="G11" t="s">
        <v>217</v>
      </c>
      <c r="H11">
        <v>99999</v>
      </c>
      <c r="I11" t="s">
        <v>188</v>
      </c>
      <c r="J11" t="s">
        <v>218</v>
      </c>
      <c r="K11" t="s">
        <v>219</v>
      </c>
      <c r="L11" s="34">
        <v>41649</v>
      </c>
      <c r="M11" t="s">
        <v>220</v>
      </c>
      <c r="N11" t="s">
        <v>221</v>
      </c>
      <c r="O11" t="s">
        <v>215</v>
      </c>
      <c r="P11" t="s">
        <v>216</v>
      </c>
      <c r="Q11" t="s">
        <v>217</v>
      </c>
      <c r="R11">
        <v>99999</v>
      </c>
      <c r="S11" t="s">
        <v>188</v>
      </c>
      <c r="T11" t="s">
        <v>206</v>
      </c>
      <c r="U11" t="s">
        <v>222</v>
      </c>
      <c r="V11" t="s">
        <v>223</v>
      </c>
      <c r="W11" s="35">
        <v>9.1999999999999993</v>
      </c>
      <c r="X11">
        <v>38</v>
      </c>
      <c r="Y11" s="36">
        <v>349.59999999999997</v>
      </c>
      <c r="Z11" s="35">
        <v>36.008800000000001</v>
      </c>
    </row>
    <row r="12" spans="1:26" x14ac:dyDescent="0.25">
      <c r="A12">
        <v>1009</v>
      </c>
      <c r="B12" s="34">
        <v>41643</v>
      </c>
      <c r="C12">
        <v>4</v>
      </c>
      <c r="D12" t="s">
        <v>198</v>
      </c>
      <c r="E12" t="s">
        <v>199</v>
      </c>
      <c r="F12" t="s">
        <v>200</v>
      </c>
      <c r="G12" t="s">
        <v>201</v>
      </c>
      <c r="H12">
        <v>99999</v>
      </c>
      <c r="I12" t="s">
        <v>188</v>
      </c>
      <c r="J12" t="s">
        <v>202</v>
      </c>
      <c r="K12" t="s">
        <v>203</v>
      </c>
      <c r="L12" s="34">
        <v>41645</v>
      </c>
      <c r="M12" t="s">
        <v>220</v>
      </c>
      <c r="N12" t="s">
        <v>205</v>
      </c>
      <c r="O12" t="s">
        <v>199</v>
      </c>
      <c r="P12" t="s">
        <v>200</v>
      </c>
      <c r="Q12" t="s">
        <v>201</v>
      </c>
      <c r="R12">
        <v>99999</v>
      </c>
      <c r="S12" t="s">
        <v>188</v>
      </c>
      <c r="T12" t="s">
        <v>193</v>
      </c>
      <c r="U12" t="s">
        <v>222</v>
      </c>
      <c r="V12" t="s">
        <v>223</v>
      </c>
      <c r="W12" s="35">
        <v>9.1999999999999993</v>
      </c>
      <c r="X12">
        <v>88</v>
      </c>
      <c r="Y12" s="36">
        <v>809.59999999999991</v>
      </c>
      <c r="Z12" s="35">
        <v>79.340799999999987</v>
      </c>
    </row>
    <row r="13" spans="1:26" x14ac:dyDescent="0.25">
      <c r="A13">
        <v>1010</v>
      </c>
      <c r="B13" s="34">
        <v>41668</v>
      </c>
      <c r="C13">
        <v>29</v>
      </c>
      <c r="D13" t="s">
        <v>224</v>
      </c>
      <c r="E13" t="s">
        <v>225</v>
      </c>
      <c r="F13" t="s">
        <v>226</v>
      </c>
      <c r="G13" t="s">
        <v>227</v>
      </c>
      <c r="H13">
        <v>99999</v>
      </c>
      <c r="I13" t="s">
        <v>188</v>
      </c>
      <c r="J13" t="s">
        <v>228</v>
      </c>
      <c r="K13" t="s">
        <v>190</v>
      </c>
      <c r="L13" s="34">
        <v>41670</v>
      </c>
      <c r="M13" t="s">
        <v>191</v>
      </c>
      <c r="N13" t="s">
        <v>229</v>
      </c>
      <c r="O13" t="s">
        <v>225</v>
      </c>
      <c r="P13" t="s">
        <v>226</v>
      </c>
      <c r="Q13" t="s">
        <v>227</v>
      </c>
      <c r="R13">
        <v>99999</v>
      </c>
      <c r="S13" t="s">
        <v>188</v>
      </c>
      <c r="T13" t="s">
        <v>193</v>
      </c>
      <c r="U13" t="s">
        <v>230</v>
      </c>
      <c r="V13" t="s">
        <v>231</v>
      </c>
      <c r="W13" s="35">
        <v>12.75</v>
      </c>
      <c r="X13">
        <v>94</v>
      </c>
      <c r="Y13" s="36">
        <v>1198.5</v>
      </c>
      <c r="Z13" s="35">
        <v>122.24700000000001</v>
      </c>
    </row>
    <row r="14" spans="1:26" x14ac:dyDescent="0.25">
      <c r="A14">
        <v>1011</v>
      </c>
      <c r="B14" s="34">
        <v>41642</v>
      </c>
      <c r="C14">
        <v>3</v>
      </c>
      <c r="D14" t="s">
        <v>232</v>
      </c>
      <c r="E14" t="s">
        <v>233</v>
      </c>
      <c r="F14" t="s">
        <v>234</v>
      </c>
      <c r="G14" t="s">
        <v>235</v>
      </c>
      <c r="H14">
        <v>99999</v>
      </c>
      <c r="I14" t="s">
        <v>188</v>
      </c>
      <c r="J14" t="s">
        <v>189</v>
      </c>
      <c r="K14" t="s">
        <v>190</v>
      </c>
      <c r="L14" s="34">
        <v>41644</v>
      </c>
      <c r="M14" t="s">
        <v>191</v>
      </c>
      <c r="N14" t="s">
        <v>236</v>
      </c>
      <c r="O14" t="s">
        <v>233</v>
      </c>
      <c r="P14" t="s">
        <v>234</v>
      </c>
      <c r="Q14" t="s">
        <v>235</v>
      </c>
      <c r="R14">
        <v>99999</v>
      </c>
      <c r="S14" t="s">
        <v>188</v>
      </c>
      <c r="T14" t="s">
        <v>237</v>
      </c>
      <c r="U14" t="s">
        <v>238</v>
      </c>
      <c r="V14" t="s">
        <v>239</v>
      </c>
      <c r="W14" s="35">
        <v>9.65</v>
      </c>
      <c r="X14">
        <v>91</v>
      </c>
      <c r="Y14" s="36">
        <v>878.15</v>
      </c>
      <c r="Z14" s="35">
        <v>92.205749999999995</v>
      </c>
    </row>
    <row r="15" spans="1:26" x14ac:dyDescent="0.25">
      <c r="A15">
        <v>1012</v>
      </c>
      <c r="B15" s="34">
        <v>41645</v>
      </c>
      <c r="C15">
        <v>6</v>
      </c>
      <c r="D15" t="s">
        <v>240</v>
      </c>
      <c r="E15" t="s">
        <v>241</v>
      </c>
      <c r="F15" t="s">
        <v>242</v>
      </c>
      <c r="G15" t="s">
        <v>243</v>
      </c>
      <c r="H15">
        <v>99999</v>
      </c>
      <c r="I15" t="s">
        <v>188</v>
      </c>
      <c r="J15" t="s">
        <v>244</v>
      </c>
      <c r="K15" t="s">
        <v>219</v>
      </c>
      <c r="L15" s="34">
        <v>41647</v>
      </c>
      <c r="M15" t="s">
        <v>191</v>
      </c>
      <c r="N15" t="s">
        <v>245</v>
      </c>
      <c r="O15" t="s">
        <v>241</v>
      </c>
      <c r="P15" t="s">
        <v>242</v>
      </c>
      <c r="Q15" t="s">
        <v>243</v>
      </c>
      <c r="R15">
        <v>99999</v>
      </c>
      <c r="S15" t="s">
        <v>188</v>
      </c>
      <c r="T15" t="s">
        <v>206</v>
      </c>
      <c r="U15" t="s">
        <v>246</v>
      </c>
      <c r="V15" t="s">
        <v>247</v>
      </c>
      <c r="W15" s="35">
        <v>40</v>
      </c>
      <c r="X15">
        <v>32</v>
      </c>
      <c r="Y15" s="36">
        <v>1280</v>
      </c>
      <c r="Z15" s="35">
        <v>133.12</v>
      </c>
    </row>
    <row r="16" spans="1:26" x14ac:dyDescent="0.25">
      <c r="A16">
        <v>1013</v>
      </c>
      <c r="B16" s="34">
        <v>41667</v>
      </c>
      <c r="C16">
        <v>28</v>
      </c>
      <c r="D16" t="s">
        <v>248</v>
      </c>
      <c r="E16" t="s">
        <v>249</v>
      </c>
      <c r="F16" t="s">
        <v>250</v>
      </c>
      <c r="G16" t="s">
        <v>251</v>
      </c>
      <c r="H16">
        <v>99999</v>
      </c>
      <c r="I16" t="s">
        <v>188</v>
      </c>
      <c r="J16" t="s">
        <v>252</v>
      </c>
      <c r="K16" t="s">
        <v>253</v>
      </c>
      <c r="L16" s="34">
        <v>41669</v>
      </c>
      <c r="M16" t="s">
        <v>220</v>
      </c>
      <c r="N16" t="s">
        <v>254</v>
      </c>
      <c r="O16" t="s">
        <v>249</v>
      </c>
      <c r="P16" t="s">
        <v>250</v>
      </c>
      <c r="Q16" t="s">
        <v>251</v>
      </c>
      <c r="R16">
        <v>99999</v>
      </c>
      <c r="S16" t="s">
        <v>188</v>
      </c>
      <c r="T16" t="s">
        <v>193</v>
      </c>
      <c r="U16" t="s">
        <v>213</v>
      </c>
      <c r="V16" t="s">
        <v>195</v>
      </c>
      <c r="W16" s="35">
        <v>46</v>
      </c>
      <c r="X16">
        <v>55</v>
      </c>
      <c r="Y16" s="36">
        <v>2530</v>
      </c>
      <c r="Z16" s="35">
        <v>253</v>
      </c>
    </row>
    <row r="17" spans="1:26" x14ac:dyDescent="0.25">
      <c r="A17">
        <v>1014</v>
      </c>
      <c r="B17" s="34">
        <v>41647</v>
      </c>
      <c r="C17">
        <v>8</v>
      </c>
      <c r="D17" t="s">
        <v>214</v>
      </c>
      <c r="E17" t="s">
        <v>215</v>
      </c>
      <c r="F17" t="s">
        <v>216</v>
      </c>
      <c r="G17" t="s">
        <v>217</v>
      </c>
      <c r="H17">
        <v>99999</v>
      </c>
      <c r="I17" t="s">
        <v>188</v>
      </c>
      <c r="J17" t="s">
        <v>218</v>
      </c>
      <c r="K17" t="s">
        <v>219</v>
      </c>
      <c r="L17" s="34">
        <v>41649</v>
      </c>
      <c r="M17" t="s">
        <v>220</v>
      </c>
      <c r="N17" t="s">
        <v>221</v>
      </c>
      <c r="O17" t="s">
        <v>215</v>
      </c>
      <c r="P17" t="s">
        <v>216</v>
      </c>
      <c r="Q17" t="s">
        <v>217</v>
      </c>
      <c r="R17">
        <v>99999</v>
      </c>
      <c r="S17" t="s">
        <v>188</v>
      </c>
      <c r="T17" t="s">
        <v>193</v>
      </c>
      <c r="U17" t="s">
        <v>230</v>
      </c>
      <c r="V17" t="s">
        <v>231</v>
      </c>
      <c r="W17" s="35">
        <v>12.75</v>
      </c>
      <c r="X17">
        <v>47</v>
      </c>
      <c r="Y17" s="36">
        <v>599.25</v>
      </c>
      <c r="Z17" s="35">
        <v>61.722750000000005</v>
      </c>
    </row>
    <row r="18" spans="1:26" x14ac:dyDescent="0.25">
      <c r="A18">
        <v>1015</v>
      </c>
      <c r="B18" s="34">
        <v>41649</v>
      </c>
      <c r="C18">
        <v>10</v>
      </c>
      <c r="D18" t="s">
        <v>255</v>
      </c>
      <c r="E18" t="s">
        <v>256</v>
      </c>
      <c r="F18" t="s">
        <v>257</v>
      </c>
      <c r="G18" t="s">
        <v>258</v>
      </c>
      <c r="H18">
        <v>99999</v>
      </c>
      <c r="I18" t="s">
        <v>188</v>
      </c>
      <c r="J18" t="s">
        <v>259</v>
      </c>
      <c r="K18" t="s">
        <v>203</v>
      </c>
      <c r="L18" s="34">
        <v>41651</v>
      </c>
      <c r="M18" t="s">
        <v>191</v>
      </c>
      <c r="N18" t="s">
        <v>260</v>
      </c>
      <c r="O18" t="s">
        <v>256</v>
      </c>
      <c r="P18" t="s">
        <v>257</v>
      </c>
      <c r="Q18" t="s">
        <v>258</v>
      </c>
      <c r="R18">
        <v>99999</v>
      </c>
      <c r="S18" t="s">
        <v>188</v>
      </c>
      <c r="T18" t="s">
        <v>206</v>
      </c>
      <c r="U18" t="s">
        <v>261</v>
      </c>
      <c r="V18" t="s">
        <v>195</v>
      </c>
      <c r="W18" s="35">
        <v>2.99</v>
      </c>
      <c r="X18">
        <v>90</v>
      </c>
      <c r="Y18" s="36">
        <v>269.10000000000002</v>
      </c>
      <c r="Z18" s="35">
        <v>27.717300000000005</v>
      </c>
    </row>
    <row r="19" spans="1:26" x14ac:dyDescent="0.25">
      <c r="A19">
        <v>1016</v>
      </c>
      <c r="B19" s="34">
        <v>41646</v>
      </c>
      <c r="C19">
        <v>7</v>
      </c>
      <c r="D19" t="s">
        <v>262</v>
      </c>
      <c r="E19" t="s">
        <v>263</v>
      </c>
      <c r="F19" t="s">
        <v>264</v>
      </c>
      <c r="G19" t="s">
        <v>265</v>
      </c>
      <c r="H19">
        <v>99999</v>
      </c>
      <c r="I19" t="s">
        <v>188</v>
      </c>
      <c r="J19" t="s">
        <v>218</v>
      </c>
      <c r="K19" t="s">
        <v>219</v>
      </c>
      <c r="N19" t="s">
        <v>266</v>
      </c>
      <c r="O19" t="s">
        <v>263</v>
      </c>
      <c r="P19" t="s">
        <v>264</v>
      </c>
      <c r="Q19" t="s">
        <v>265</v>
      </c>
      <c r="R19">
        <v>99999</v>
      </c>
      <c r="S19" t="s">
        <v>188</v>
      </c>
      <c r="U19" t="s">
        <v>213</v>
      </c>
      <c r="V19" t="s">
        <v>195</v>
      </c>
      <c r="W19" s="35">
        <v>46</v>
      </c>
      <c r="X19">
        <v>24</v>
      </c>
      <c r="Y19" s="36">
        <v>1104</v>
      </c>
      <c r="Z19" s="35">
        <v>110.4</v>
      </c>
    </row>
    <row r="20" spans="1:26" x14ac:dyDescent="0.25">
      <c r="A20">
        <v>1017</v>
      </c>
      <c r="B20" s="34">
        <v>41649</v>
      </c>
      <c r="C20">
        <v>10</v>
      </c>
      <c r="D20" t="s">
        <v>255</v>
      </c>
      <c r="E20" t="s">
        <v>256</v>
      </c>
      <c r="F20" t="s">
        <v>257</v>
      </c>
      <c r="G20" t="s">
        <v>258</v>
      </c>
      <c r="H20">
        <v>99999</v>
      </c>
      <c r="I20" t="s">
        <v>188</v>
      </c>
      <c r="J20" t="s">
        <v>259</v>
      </c>
      <c r="K20" t="s">
        <v>203</v>
      </c>
      <c r="L20" s="34">
        <v>41651</v>
      </c>
      <c r="M20" t="s">
        <v>204</v>
      </c>
      <c r="N20" t="s">
        <v>260</v>
      </c>
      <c r="O20" t="s">
        <v>256</v>
      </c>
      <c r="P20" t="s">
        <v>257</v>
      </c>
      <c r="Q20" t="s">
        <v>258</v>
      </c>
      <c r="R20">
        <v>99999</v>
      </c>
      <c r="S20" t="s">
        <v>188</v>
      </c>
      <c r="U20" t="s">
        <v>267</v>
      </c>
      <c r="V20" t="s">
        <v>268</v>
      </c>
      <c r="W20" s="35">
        <v>25</v>
      </c>
      <c r="X20">
        <v>34</v>
      </c>
      <c r="Y20" s="36">
        <v>850</v>
      </c>
      <c r="Z20" s="35">
        <v>80.75</v>
      </c>
    </row>
    <row r="21" spans="1:26" x14ac:dyDescent="0.25">
      <c r="A21">
        <v>1018</v>
      </c>
      <c r="B21" s="34">
        <v>41649</v>
      </c>
      <c r="C21">
        <v>10</v>
      </c>
      <c r="D21" t="s">
        <v>255</v>
      </c>
      <c r="E21" t="s">
        <v>256</v>
      </c>
      <c r="F21" t="s">
        <v>257</v>
      </c>
      <c r="G21" t="s">
        <v>258</v>
      </c>
      <c r="H21">
        <v>99999</v>
      </c>
      <c r="I21" t="s">
        <v>188</v>
      </c>
      <c r="J21" t="s">
        <v>259</v>
      </c>
      <c r="K21" t="s">
        <v>203</v>
      </c>
      <c r="L21" s="34">
        <v>41651</v>
      </c>
      <c r="M21" t="s">
        <v>204</v>
      </c>
      <c r="N21" t="s">
        <v>260</v>
      </c>
      <c r="O21" t="s">
        <v>256</v>
      </c>
      <c r="P21" t="s">
        <v>257</v>
      </c>
      <c r="Q21" t="s">
        <v>258</v>
      </c>
      <c r="R21">
        <v>99999</v>
      </c>
      <c r="S21" t="s">
        <v>188</v>
      </c>
      <c r="U21" t="s">
        <v>269</v>
      </c>
      <c r="V21" t="s">
        <v>270</v>
      </c>
      <c r="W21" s="35">
        <v>22</v>
      </c>
      <c r="X21">
        <v>17</v>
      </c>
      <c r="Y21" s="36">
        <v>374</v>
      </c>
      <c r="Z21" s="35">
        <v>35.903999999999996</v>
      </c>
    </row>
    <row r="22" spans="1:26" x14ac:dyDescent="0.25">
      <c r="A22">
        <v>1019</v>
      </c>
      <c r="B22" s="34">
        <v>41649</v>
      </c>
      <c r="C22">
        <v>10</v>
      </c>
      <c r="D22" t="s">
        <v>255</v>
      </c>
      <c r="E22" t="s">
        <v>256</v>
      </c>
      <c r="F22" t="s">
        <v>257</v>
      </c>
      <c r="G22" t="s">
        <v>258</v>
      </c>
      <c r="H22">
        <v>99999</v>
      </c>
      <c r="I22" t="s">
        <v>188</v>
      </c>
      <c r="J22" t="s">
        <v>259</v>
      </c>
      <c r="K22" t="s">
        <v>203</v>
      </c>
      <c r="L22" s="34">
        <v>41651</v>
      </c>
      <c r="M22" t="s">
        <v>204</v>
      </c>
      <c r="N22" t="s">
        <v>260</v>
      </c>
      <c r="O22" t="s">
        <v>256</v>
      </c>
      <c r="P22" t="s">
        <v>257</v>
      </c>
      <c r="Q22" t="s">
        <v>258</v>
      </c>
      <c r="R22">
        <v>99999</v>
      </c>
      <c r="S22" t="s">
        <v>188</v>
      </c>
      <c r="U22" t="s">
        <v>222</v>
      </c>
      <c r="V22" t="s">
        <v>223</v>
      </c>
      <c r="W22" s="35">
        <v>9.1999999999999993</v>
      </c>
      <c r="X22">
        <v>44</v>
      </c>
      <c r="Y22" s="36">
        <v>404.79999999999995</v>
      </c>
      <c r="Z22" s="35">
        <v>42.099199999999996</v>
      </c>
    </row>
    <row r="23" spans="1:26" x14ac:dyDescent="0.25">
      <c r="A23">
        <v>1020</v>
      </c>
      <c r="B23" s="34">
        <v>41650</v>
      </c>
      <c r="C23">
        <v>11</v>
      </c>
      <c r="D23" t="s">
        <v>271</v>
      </c>
      <c r="E23" t="s">
        <v>272</v>
      </c>
      <c r="F23" t="s">
        <v>273</v>
      </c>
      <c r="G23" t="s">
        <v>274</v>
      </c>
      <c r="H23">
        <v>99999</v>
      </c>
      <c r="I23" t="s">
        <v>188</v>
      </c>
      <c r="J23" t="s">
        <v>252</v>
      </c>
      <c r="K23" t="s">
        <v>253</v>
      </c>
      <c r="M23" t="s">
        <v>220</v>
      </c>
      <c r="N23" t="s">
        <v>275</v>
      </c>
      <c r="O23" t="s">
        <v>272</v>
      </c>
      <c r="P23" t="s">
        <v>273</v>
      </c>
      <c r="Q23" t="s">
        <v>274</v>
      </c>
      <c r="R23">
        <v>99999</v>
      </c>
      <c r="S23" t="s">
        <v>188</v>
      </c>
      <c r="U23" t="s">
        <v>196</v>
      </c>
      <c r="V23" t="s">
        <v>197</v>
      </c>
      <c r="W23" s="35">
        <v>3.5</v>
      </c>
      <c r="X23">
        <v>81</v>
      </c>
      <c r="Y23" s="36">
        <v>283.5</v>
      </c>
      <c r="Z23" s="35">
        <v>27.499500000000001</v>
      </c>
    </row>
    <row r="24" spans="1:26" x14ac:dyDescent="0.25">
      <c r="A24">
        <v>1021</v>
      </c>
      <c r="B24" s="34">
        <v>41650</v>
      </c>
      <c r="C24">
        <v>11</v>
      </c>
      <c r="D24" t="s">
        <v>271</v>
      </c>
      <c r="E24" t="s">
        <v>272</v>
      </c>
      <c r="F24" t="s">
        <v>273</v>
      </c>
      <c r="G24" t="s">
        <v>274</v>
      </c>
      <c r="H24">
        <v>99999</v>
      </c>
      <c r="I24" t="s">
        <v>188</v>
      </c>
      <c r="J24" t="s">
        <v>252</v>
      </c>
      <c r="K24" t="s">
        <v>253</v>
      </c>
      <c r="M24" t="s">
        <v>220</v>
      </c>
      <c r="N24" t="s">
        <v>275</v>
      </c>
      <c r="O24" t="s">
        <v>272</v>
      </c>
      <c r="P24" t="s">
        <v>273</v>
      </c>
      <c r="Q24" t="s">
        <v>274</v>
      </c>
      <c r="R24">
        <v>99999</v>
      </c>
      <c r="S24" t="s">
        <v>188</v>
      </c>
      <c r="U24" t="s">
        <v>261</v>
      </c>
      <c r="V24" t="s">
        <v>195</v>
      </c>
      <c r="W24" s="35">
        <v>2.99</v>
      </c>
      <c r="X24">
        <v>49</v>
      </c>
      <c r="Y24" s="36">
        <v>146.51000000000002</v>
      </c>
      <c r="Z24" s="35">
        <v>15.090530000000005</v>
      </c>
    </row>
    <row r="25" spans="1:26" x14ac:dyDescent="0.25">
      <c r="A25">
        <v>1022</v>
      </c>
      <c r="B25" s="34">
        <v>41640</v>
      </c>
      <c r="C25">
        <v>1</v>
      </c>
      <c r="D25" t="s">
        <v>276</v>
      </c>
      <c r="E25" t="s">
        <v>277</v>
      </c>
      <c r="F25" t="s">
        <v>278</v>
      </c>
      <c r="G25" t="s">
        <v>279</v>
      </c>
      <c r="H25">
        <v>99999</v>
      </c>
      <c r="I25" t="s">
        <v>188</v>
      </c>
      <c r="J25" t="s">
        <v>218</v>
      </c>
      <c r="K25" t="s">
        <v>219</v>
      </c>
      <c r="N25" t="s">
        <v>280</v>
      </c>
      <c r="O25" t="s">
        <v>277</v>
      </c>
      <c r="P25" t="s">
        <v>278</v>
      </c>
      <c r="Q25" t="s">
        <v>279</v>
      </c>
      <c r="R25">
        <v>99999</v>
      </c>
      <c r="S25" t="s">
        <v>188</v>
      </c>
      <c r="U25" t="s">
        <v>212</v>
      </c>
      <c r="V25" t="s">
        <v>195</v>
      </c>
      <c r="W25" s="35">
        <v>18</v>
      </c>
      <c r="X25">
        <v>42</v>
      </c>
      <c r="Y25" s="36">
        <v>756</v>
      </c>
      <c r="Z25" s="35">
        <v>75.600000000000009</v>
      </c>
    </row>
    <row r="26" spans="1:26" x14ac:dyDescent="0.25">
      <c r="A26">
        <v>1023</v>
      </c>
      <c r="B26" s="34">
        <v>41640</v>
      </c>
      <c r="C26">
        <v>1</v>
      </c>
      <c r="D26" t="s">
        <v>276</v>
      </c>
      <c r="E26" t="s">
        <v>277</v>
      </c>
      <c r="F26" t="s">
        <v>278</v>
      </c>
      <c r="G26" t="s">
        <v>279</v>
      </c>
      <c r="H26">
        <v>99999</v>
      </c>
      <c r="I26" t="s">
        <v>188</v>
      </c>
      <c r="J26" t="s">
        <v>218</v>
      </c>
      <c r="K26" t="s">
        <v>219</v>
      </c>
      <c r="N26" t="s">
        <v>280</v>
      </c>
      <c r="O26" t="s">
        <v>277</v>
      </c>
      <c r="P26" t="s">
        <v>278</v>
      </c>
      <c r="Q26" t="s">
        <v>279</v>
      </c>
      <c r="R26">
        <v>99999</v>
      </c>
      <c r="S26" t="s">
        <v>188</v>
      </c>
      <c r="U26" t="s">
        <v>213</v>
      </c>
      <c r="V26" t="s">
        <v>195</v>
      </c>
      <c r="W26" s="35">
        <v>46</v>
      </c>
      <c r="X26">
        <v>58</v>
      </c>
      <c r="Y26" s="36">
        <v>2668</v>
      </c>
      <c r="Z26" s="35">
        <v>269.46800000000002</v>
      </c>
    </row>
    <row r="27" spans="1:26" x14ac:dyDescent="0.25">
      <c r="A27">
        <v>1024</v>
      </c>
      <c r="B27" s="34">
        <v>41640</v>
      </c>
      <c r="C27">
        <v>1</v>
      </c>
      <c r="D27" t="s">
        <v>276</v>
      </c>
      <c r="E27" t="s">
        <v>277</v>
      </c>
      <c r="F27" t="s">
        <v>278</v>
      </c>
      <c r="G27" t="s">
        <v>279</v>
      </c>
      <c r="H27">
        <v>99999</v>
      </c>
      <c r="I27" t="s">
        <v>188</v>
      </c>
      <c r="J27" t="s">
        <v>218</v>
      </c>
      <c r="K27" t="s">
        <v>219</v>
      </c>
      <c r="N27" t="s">
        <v>280</v>
      </c>
      <c r="O27" t="s">
        <v>277</v>
      </c>
      <c r="P27" t="s">
        <v>278</v>
      </c>
      <c r="Q27" t="s">
        <v>279</v>
      </c>
      <c r="R27">
        <v>99999</v>
      </c>
      <c r="S27" t="s">
        <v>188</v>
      </c>
      <c r="U27" t="s">
        <v>261</v>
      </c>
      <c r="V27" t="s">
        <v>195</v>
      </c>
      <c r="W27" s="35">
        <v>2.99</v>
      </c>
      <c r="X27">
        <v>67</v>
      </c>
      <c r="Y27" s="36">
        <v>200.33</v>
      </c>
      <c r="Z27" s="35">
        <v>20.033000000000001</v>
      </c>
    </row>
    <row r="28" spans="1:26" x14ac:dyDescent="0.25">
      <c r="A28">
        <v>1025</v>
      </c>
      <c r="B28" s="34">
        <v>41667</v>
      </c>
      <c r="C28">
        <v>28</v>
      </c>
      <c r="D28" t="s">
        <v>248</v>
      </c>
      <c r="E28" t="s">
        <v>249</v>
      </c>
      <c r="F28" t="s">
        <v>250</v>
      </c>
      <c r="G28" t="s">
        <v>251</v>
      </c>
      <c r="H28">
        <v>99999</v>
      </c>
      <c r="I28" t="s">
        <v>188</v>
      </c>
      <c r="J28" t="s">
        <v>252</v>
      </c>
      <c r="K28" t="s">
        <v>253</v>
      </c>
      <c r="L28" s="34">
        <v>41669</v>
      </c>
      <c r="M28" t="s">
        <v>220</v>
      </c>
      <c r="N28" t="s">
        <v>254</v>
      </c>
      <c r="O28" t="s">
        <v>249</v>
      </c>
      <c r="P28" t="s">
        <v>250</v>
      </c>
      <c r="Q28" t="s">
        <v>251</v>
      </c>
      <c r="R28">
        <v>99999</v>
      </c>
      <c r="S28" t="s">
        <v>188</v>
      </c>
      <c r="T28" t="s">
        <v>206</v>
      </c>
      <c r="U28" t="s">
        <v>238</v>
      </c>
      <c r="V28" t="s">
        <v>239</v>
      </c>
      <c r="W28" s="35">
        <v>9.65</v>
      </c>
      <c r="X28">
        <v>100</v>
      </c>
      <c r="Y28" s="36">
        <v>965</v>
      </c>
      <c r="Z28" s="35">
        <v>93.605000000000004</v>
      </c>
    </row>
    <row r="29" spans="1:26" x14ac:dyDescent="0.25">
      <c r="A29">
        <v>1026</v>
      </c>
      <c r="B29" s="34">
        <v>41667</v>
      </c>
      <c r="C29">
        <v>28</v>
      </c>
      <c r="D29" t="s">
        <v>248</v>
      </c>
      <c r="E29" t="s">
        <v>249</v>
      </c>
      <c r="F29" t="s">
        <v>250</v>
      </c>
      <c r="G29" t="s">
        <v>251</v>
      </c>
      <c r="H29">
        <v>99999</v>
      </c>
      <c r="I29" t="s">
        <v>188</v>
      </c>
      <c r="J29" t="s">
        <v>252</v>
      </c>
      <c r="K29" t="s">
        <v>253</v>
      </c>
      <c r="L29" s="34">
        <v>41669</v>
      </c>
      <c r="M29" t="s">
        <v>220</v>
      </c>
      <c r="N29" t="s">
        <v>254</v>
      </c>
      <c r="O29" t="s">
        <v>249</v>
      </c>
      <c r="P29" t="s">
        <v>250</v>
      </c>
      <c r="Q29" t="s">
        <v>251</v>
      </c>
      <c r="R29">
        <v>99999</v>
      </c>
      <c r="S29" t="s">
        <v>188</v>
      </c>
      <c r="T29" t="s">
        <v>206</v>
      </c>
      <c r="U29" t="s">
        <v>281</v>
      </c>
      <c r="V29" t="s">
        <v>282</v>
      </c>
      <c r="W29" s="35">
        <v>18.399999999999999</v>
      </c>
      <c r="X29">
        <v>63</v>
      </c>
      <c r="Y29" s="36">
        <v>1159.1999999999998</v>
      </c>
      <c r="Z29" s="35">
        <v>114.76079999999999</v>
      </c>
    </row>
    <row r="30" spans="1:26" x14ac:dyDescent="0.25">
      <c r="A30">
        <v>1027</v>
      </c>
      <c r="B30" s="34">
        <v>41648</v>
      </c>
      <c r="C30">
        <v>9</v>
      </c>
      <c r="D30" t="s">
        <v>283</v>
      </c>
      <c r="E30" t="s">
        <v>284</v>
      </c>
      <c r="F30" t="s">
        <v>285</v>
      </c>
      <c r="G30" t="s">
        <v>286</v>
      </c>
      <c r="H30">
        <v>99999</v>
      </c>
      <c r="I30" t="s">
        <v>188</v>
      </c>
      <c r="J30" t="s">
        <v>287</v>
      </c>
      <c r="K30" t="s">
        <v>190</v>
      </c>
      <c r="L30" s="34">
        <v>41650</v>
      </c>
      <c r="M30" t="s">
        <v>204</v>
      </c>
      <c r="N30" t="s">
        <v>288</v>
      </c>
      <c r="O30" t="s">
        <v>284</v>
      </c>
      <c r="P30" t="s">
        <v>285</v>
      </c>
      <c r="Q30" t="s">
        <v>286</v>
      </c>
      <c r="R30">
        <v>99999</v>
      </c>
      <c r="S30" t="s">
        <v>188</v>
      </c>
      <c r="T30" t="s">
        <v>193</v>
      </c>
      <c r="U30" t="s">
        <v>289</v>
      </c>
      <c r="V30" t="s">
        <v>290</v>
      </c>
      <c r="W30" s="35">
        <v>19.5</v>
      </c>
      <c r="X30">
        <v>57</v>
      </c>
      <c r="Y30" s="36">
        <v>1111.5</v>
      </c>
      <c r="Z30" s="35">
        <v>110.0385</v>
      </c>
    </row>
    <row r="31" spans="1:26" x14ac:dyDescent="0.25">
      <c r="A31">
        <v>1028</v>
      </c>
      <c r="B31" s="34">
        <v>41648</v>
      </c>
      <c r="C31">
        <v>9</v>
      </c>
      <c r="D31" t="s">
        <v>283</v>
      </c>
      <c r="E31" t="s">
        <v>284</v>
      </c>
      <c r="F31" t="s">
        <v>285</v>
      </c>
      <c r="G31" t="s">
        <v>286</v>
      </c>
      <c r="H31">
        <v>99999</v>
      </c>
      <c r="I31" t="s">
        <v>188</v>
      </c>
      <c r="J31" t="s">
        <v>287</v>
      </c>
      <c r="K31" t="s">
        <v>190</v>
      </c>
      <c r="L31" s="34">
        <v>41650</v>
      </c>
      <c r="M31" t="s">
        <v>204</v>
      </c>
      <c r="N31" t="s">
        <v>288</v>
      </c>
      <c r="O31" t="s">
        <v>284</v>
      </c>
      <c r="P31" t="s">
        <v>285</v>
      </c>
      <c r="Q31" t="s">
        <v>286</v>
      </c>
      <c r="R31">
        <v>99999</v>
      </c>
      <c r="S31" t="s">
        <v>188</v>
      </c>
      <c r="T31" t="s">
        <v>193</v>
      </c>
      <c r="U31" t="s">
        <v>291</v>
      </c>
      <c r="V31" t="s">
        <v>292</v>
      </c>
      <c r="W31" s="35">
        <v>34.799999999999997</v>
      </c>
      <c r="X31">
        <v>81</v>
      </c>
      <c r="Y31" s="36">
        <v>2818.7999999999997</v>
      </c>
      <c r="Z31" s="35">
        <v>295.97399999999999</v>
      </c>
    </row>
    <row r="32" spans="1:26" x14ac:dyDescent="0.25">
      <c r="A32">
        <v>1029</v>
      </c>
      <c r="B32" s="34">
        <v>41645</v>
      </c>
      <c r="C32">
        <v>6</v>
      </c>
      <c r="D32" t="s">
        <v>240</v>
      </c>
      <c r="E32" t="s">
        <v>241</v>
      </c>
      <c r="F32" t="s">
        <v>242</v>
      </c>
      <c r="G32" t="s">
        <v>243</v>
      </c>
      <c r="H32">
        <v>99999</v>
      </c>
      <c r="I32" t="s">
        <v>188</v>
      </c>
      <c r="J32" t="s">
        <v>244</v>
      </c>
      <c r="K32" t="s">
        <v>219</v>
      </c>
      <c r="L32" s="34">
        <v>41647</v>
      </c>
      <c r="M32" t="s">
        <v>191</v>
      </c>
      <c r="N32" t="s">
        <v>245</v>
      </c>
      <c r="O32" t="s">
        <v>241</v>
      </c>
      <c r="P32" t="s">
        <v>242</v>
      </c>
      <c r="Q32" t="s">
        <v>243</v>
      </c>
      <c r="R32">
        <v>99999</v>
      </c>
      <c r="S32" t="s">
        <v>188</v>
      </c>
      <c r="T32" t="s">
        <v>206</v>
      </c>
      <c r="U32" t="s">
        <v>194</v>
      </c>
      <c r="V32" t="s">
        <v>195</v>
      </c>
      <c r="W32" s="35">
        <v>14</v>
      </c>
      <c r="X32">
        <v>71</v>
      </c>
      <c r="Y32" s="36">
        <v>994</v>
      </c>
      <c r="Z32" s="35">
        <v>95.424000000000007</v>
      </c>
    </row>
    <row r="33" spans="1:26" x14ac:dyDescent="0.25">
      <c r="A33">
        <v>1030</v>
      </c>
      <c r="B33" s="34">
        <v>41678</v>
      </c>
      <c r="C33">
        <v>8</v>
      </c>
      <c r="D33" t="s">
        <v>214</v>
      </c>
      <c r="E33" t="s">
        <v>215</v>
      </c>
      <c r="F33" t="s">
        <v>216</v>
      </c>
      <c r="G33" t="s">
        <v>217</v>
      </c>
      <c r="H33">
        <v>99999</v>
      </c>
      <c r="I33" t="s">
        <v>188</v>
      </c>
      <c r="J33" t="s">
        <v>218</v>
      </c>
      <c r="K33" t="s">
        <v>219</v>
      </c>
      <c r="L33" s="34">
        <v>41680</v>
      </c>
      <c r="M33" t="s">
        <v>191</v>
      </c>
      <c r="N33" t="s">
        <v>221</v>
      </c>
      <c r="O33" t="s">
        <v>215</v>
      </c>
      <c r="P33" t="s">
        <v>216</v>
      </c>
      <c r="Q33" t="s">
        <v>217</v>
      </c>
      <c r="R33">
        <v>99999</v>
      </c>
      <c r="S33" t="s">
        <v>188</v>
      </c>
      <c r="T33" t="s">
        <v>193</v>
      </c>
      <c r="U33" t="s">
        <v>246</v>
      </c>
      <c r="V33" t="s">
        <v>247</v>
      </c>
      <c r="W33" s="35">
        <v>40</v>
      </c>
      <c r="X33">
        <v>32</v>
      </c>
      <c r="Y33" s="36">
        <v>1280</v>
      </c>
      <c r="Z33" s="35">
        <v>129.28</v>
      </c>
    </row>
    <row r="34" spans="1:26" x14ac:dyDescent="0.25">
      <c r="A34">
        <v>1031</v>
      </c>
      <c r="B34" s="34">
        <v>41673</v>
      </c>
      <c r="C34">
        <v>3</v>
      </c>
      <c r="D34" t="s">
        <v>232</v>
      </c>
      <c r="E34" t="s">
        <v>233</v>
      </c>
      <c r="F34" t="s">
        <v>234</v>
      </c>
      <c r="G34" t="s">
        <v>235</v>
      </c>
      <c r="H34">
        <v>99999</v>
      </c>
      <c r="I34" t="s">
        <v>188</v>
      </c>
      <c r="J34" t="s">
        <v>189</v>
      </c>
      <c r="K34" t="s">
        <v>190</v>
      </c>
      <c r="L34" s="34">
        <v>41675</v>
      </c>
      <c r="M34" t="s">
        <v>191</v>
      </c>
      <c r="N34" t="s">
        <v>236</v>
      </c>
      <c r="O34" t="s">
        <v>233</v>
      </c>
      <c r="P34" t="s">
        <v>234</v>
      </c>
      <c r="Q34" t="s">
        <v>235</v>
      </c>
      <c r="R34">
        <v>99999</v>
      </c>
      <c r="S34" t="s">
        <v>188</v>
      </c>
      <c r="T34" t="s">
        <v>237</v>
      </c>
      <c r="U34" t="s">
        <v>293</v>
      </c>
      <c r="V34" t="s">
        <v>270</v>
      </c>
      <c r="W34">
        <v>10</v>
      </c>
      <c r="X34">
        <v>63</v>
      </c>
      <c r="Y34" s="36">
        <v>630</v>
      </c>
      <c r="Z34" s="35">
        <v>65.52</v>
      </c>
    </row>
    <row r="35" spans="1:26" x14ac:dyDescent="0.25">
      <c r="A35">
        <v>1032</v>
      </c>
      <c r="B35" s="34">
        <v>41673</v>
      </c>
      <c r="C35">
        <v>3</v>
      </c>
      <c r="D35" t="s">
        <v>232</v>
      </c>
      <c r="E35" t="s">
        <v>233</v>
      </c>
      <c r="F35" t="s">
        <v>234</v>
      </c>
      <c r="G35" t="s">
        <v>235</v>
      </c>
      <c r="H35">
        <v>99999</v>
      </c>
      <c r="I35" t="s">
        <v>188</v>
      </c>
      <c r="J35" t="s">
        <v>189</v>
      </c>
      <c r="K35" t="s">
        <v>190</v>
      </c>
      <c r="L35" s="34">
        <v>41675</v>
      </c>
      <c r="M35" t="s">
        <v>191</v>
      </c>
      <c r="N35" t="s">
        <v>236</v>
      </c>
      <c r="O35" t="s">
        <v>233</v>
      </c>
      <c r="P35" t="s">
        <v>234</v>
      </c>
      <c r="Q35" t="s">
        <v>235</v>
      </c>
      <c r="R35">
        <v>99999</v>
      </c>
      <c r="S35" t="s">
        <v>188</v>
      </c>
      <c r="T35" t="s">
        <v>237</v>
      </c>
      <c r="U35" t="s">
        <v>246</v>
      </c>
      <c r="V35" t="s">
        <v>247</v>
      </c>
      <c r="W35">
        <v>40</v>
      </c>
      <c r="X35">
        <v>30</v>
      </c>
      <c r="Y35" s="36">
        <v>1200</v>
      </c>
      <c r="Z35" s="35">
        <v>120</v>
      </c>
    </row>
    <row r="36" spans="1:26" x14ac:dyDescent="0.25">
      <c r="A36">
        <v>1033</v>
      </c>
      <c r="B36" s="34">
        <v>41676</v>
      </c>
      <c r="C36">
        <v>6</v>
      </c>
      <c r="D36" t="s">
        <v>240</v>
      </c>
      <c r="E36" t="s">
        <v>241</v>
      </c>
      <c r="F36" t="s">
        <v>242</v>
      </c>
      <c r="G36" t="s">
        <v>243</v>
      </c>
      <c r="H36">
        <v>99999</v>
      </c>
      <c r="I36" t="s">
        <v>188</v>
      </c>
      <c r="J36" t="s">
        <v>244</v>
      </c>
      <c r="K36" t="s">
        <v>219</v>
      </c>
      <c r="L36" s="34">
        <v>41678</v>
      </c>
      <c r="M36" t="s">
        <v>191</v>
      </c>
      <c r="N36" t="s">
        <v>245</v>
      </c>
      <c r="O36" t="s">
        <v>241</v>
      </c>
      <c r="P36" t="s">
        <v>242</v>
      </c>
      <c r="Q36" t="s">
        <v>243</v>
      </c>
      <c r="R36">
        <v>99999</v>
      </c>
      <c r="S36" t="s">
        <v>188</v>
      </c>
      <c r="T36" t="s">
        <v>206</v>
      </c>
      <c r="Y36" s="36">
        <v>0</v>
      </c>
      <c r="Z36" s="35">
        <v>43</v>
      </c>
    </row>
    <row r="37" spans="1:26" x14ac:dyDescent="0.25">
      <c r="A37">
        <v>1034</v>
      </c>
      <c r="B37" s="34">
        <v>41698</v>
      </c>
      <c r="C37">
        <v>28</v>
      </c>
      <c r="D37" t="s">
        <v>248</v>
      </c>
      <c r="E37" t="s">
        <v>249</v>
      </c>
      <c r="F37" t="s">
        <v>250</v>
      </c>
      <c r="G37" t="s">
        <v>251</v>
      </c>
      <c r="H37">
        <v>99999</v>
      </c>
      <c r="I37" t="s">
        <v>188</v>
      </c>
      <c r="J37" t="s">
        <v>252</v>
      </c>
      <c r="K37" t="s">
        <v>253</v>
      </c>
      <c r="L37" s="34">
        <v>41700</v>
      </c>
      <c r="M37" t="s">
        <v>220</v>
      </c>
      <c r="N37" t="s">
        <v>254</v>
      </c>
      <c r="O37" t="s">
        <v>249</v>
      </c>
      <c r="P37" t="s">
        <v>250</v>
      </c>
      <c r="Q37" t="s">
        <v>251</v>
      </c>
      <c r="R37">
        <v>99999</v>
      </c>
      <c r="S37" t="s">
        <v>188</v>
      </c>
      <c r="T37" t="s">
        <v>193</v>
      </c>
      <c r="Y37" s="36">
        <v>0</v>
      </c>
      <c r="Z37" s="35">
        <v>31</v>
      </c>
    </row>
    <row r="38" spans="1:26" x14ac:dyDescent="0.25">
      <c r="A38">
        <v>1035</v>
      </c>
      <c r="B38" s="34">
        <v>41678</v>
      </c>
      <c r="C38">
        <v>8</v>
      </c>
      <c r="D38" t="s">
        <v>214</v>
      </c>
      <c r="E38" t="s">
        <v>215</v>
      </c>
      <c r="F38" t="s">
        <v>216</v>
      </c>
      <c r="G38" t="s">
        <v>217</v>
      </c>
      <c r="H38">
        <v>99999</v>
      </c>
      <c r="I38" t="s">
        <v>188</v>
      </c>
      <c r="J38" t="s">
        <v>218</v>
      </c>
      <c r="K38" t="s">
        <v>219</v>
      </c>
      <c r="L38" s="34">
        <v>41680</v>
      </c>
      <c r="M38" t="s">
        <v>220</v>
      </c>
      <c r="N38" t="s">
        <v>221</v>
      </c>
      <c r="O38" t="s">
        <v>215</v>
      </c>
      <c r="P38" t="s">
        <v>216</v>
      </c>
      <c r="Q38" t="s">
        <v>217</v>
      </c>
      <c r="R38">
        <v>99999</v>
      </c>
      <c r="S38" t="s">
        <v>188</v>
      </c>
      <c r="T38" t="s">
        <v>193</v>
      </c>
      <c r="Y38" s="36">
        <v>0</v>
      </c>
      <c r="Z38" s="35">
        <v>46</v>
      </c>
    </row>
    <row r="39" spans="1:26" x14ac:dyDescent="0.25">
      <c r="A39">
        <v>1036</v>
      </c>
      <c r="B39" s="34">
        <v>41680</v>
      </c>
      <c r="C39">
        <v>10</v>
      </c>
      <c r="D39" t="s">
        <v>255</v>
      </c>
      <c r="E39" t="s">
        <v>256</v>
      </c>
      <c r="F39" t="s">
        <v>257</v>
      </c>
      <c r="G39" t="s">
        <v>258</v>
      </c>
      <c r="H39">
        <v>99999</v>
      </c>
      <c r="I39" t="s">
        <v>188</v>
      </c>
      <c r="J39" t="s">
        <v>259</v>
      </c>
      <c r="K39" t="s">
        <v>203</v>
      </c>
      <c r="L39" s="34">
        <v>41682</v>
      </c>
      <c r="M39" t="s">
        <v>191</v>
      </c>
      <c r="N39" t="s">
        <v>260</v>
      </c>
      <c r="O39" t="s">
        <v>256</v>
      </c>
      <c r="P39" t="s">
        <v>257</v>
      </c>
      <c r="Q39" t="s">
        <v>258</v>
      </c>
      <c r="R39">
        <v>99999</v>
      </c>
      <c r="S39" t="s">
        <v>188</v>
      </c>
      <c r="T39" t="s">
        <v>206</v>
      </c>
      <c r="U39" t="s">
        <v>294</v>
      </c>
      <c r="V39" t="s">
        <v>197</v>
      </c>
      <c r="W39">
        <v>10</v>
      </c>
      <c r="X39">
        <v>47</v>
      </c>
      <c r="Y39" s="36">
        <v>470</v>
      </c>
      <c r="Z39" s="35">
        <v>48.88</v>
      </c>
    </row>
    <row r="40" spans="1:26" x14ac:dyDescent="0.25">
      <c r="A40">
        <v>1038</v>
      </c>
      <c r="B40" s="34">
        <v>41680</v>
      </c>
      <c r="C40">
        <v>10</v>
      </c>
      <c r="D40" t="s">
        <v>255</v>
      </c>
      <c r="E40" t="s">
        <v>256</v>
      </c>
      <c r="F40" t="s">
        <v>257</v>
      </c>
      <c r="G40" t="s">
        <v>258</v>
      </c>
      <c r="H40">
        <v>99999</v>
      </c>
      <c r="I40" t="s">
        <v>188</v>
      </c>
      <c r="J40" t="s">
        <v>259</v>
      </c>
      <c r="K40" t="s">
        <v>203</v>
      </c>
      <c r="M40" t="s">
        <v>204</v>
      </c>
      <c r="N40" t="s">
        <v>260</v>
      </c>
      <c r="O40" t="s">
        <v>256</v>
      </c>
      <c r="P40" t="s">
        <v>257</v>
      </c>
      <c r="Q40" t="s">
        <v>258</v>
      </c>
      <c r="R40">
        <v>99999</v>
      </c>
      <c r="S40" t="s">
        <v>188</v>
      </c>
      <c r="U40" t="s">
        <v>196</v>
      </c>
      <c r="V40" t="s">
        <v>197</v>
      </c>
      <c r="W40">
        <v>3.5</v>
      </c>
      <c r="X40">
        <v>49</v>
      </c>
      <c r="Y40" s="36">
        <v>171.5</v>
      </c>
      <c r="Z40" s="35">
        <v>16.464000000000002</v>
      </c>
    </row>
    <row r="41" spans="1:26" x14ac:dyDescent="0.25">
      <c r="A41">
        <v>1039</v>
      </c>
      <c r="B41" s="34">
        <v>41681</v>
      </c>
      <c r="C41">
        <v>11</v>
      </c>
      <c r="D41" t="s">
        <v>271</v>
      </c>
      <c r="E41" t="s">
        <v>272</v>
      </c>
      <c r="F41" t="s">
        <v>273</v>
      </c>
      <c r="G41" t="s">
        <v>274</v>
      </c>
      <c r="H41">
        <v>99999</v>
      </c>
      <c r="I41" t="s">
        <v>188</v>
      </c>
      <c r="J41" t="s">
        <v>252</v>
      </c>
      <c r="K41" t="s">
        <v>253</v>
      </c>
      <c r="M41" t="s">
        <v>220</v>
      </c>
      <c r="N41" t="s">
        <v>275</v>
      </c>
      <c r="O41" t="s">
        <v>272</v>
      </c>
      <c r="P41" t="s">
        <v>273</v>
      </c>
      <c r="Q41" t="s">
        <v>274</v>
      </c>
      <c r="R41">
        <v>99999</v>
      </c>
      <c r="S41" t="s">
        <v>188</v>
      </c>
      <c r="U41" t="s">
        <v>246</v>
      </c>
      <c r="V41" t="s">
        <v>247</v>
      </c>
      <c r="W41">
        <v>40</v>
      </c>
      <c r="X41">
        <v>72</v>
      </c>
      <c r="Y41" s="36">
        <v>2880</v>
      </c>
      <c r="Z41" s="35">
        <v>285.12</v>
      </c>
    </row>
    <row r="42" spans="1:26" x14ac:dyDescent="0.25">
      <c r="A42">
        <v>1040</v>
      </c>
      <c r="B42" s="34">
        <v>41671</v>
      </c>
      <c r="C42">
        <v>1</v>
      </c>
      <c r="D42" t="s">
        <v>276</v>
      </c>
      <c r="E42" t="s">
        <v>277</v>
      </c>
      <c r="F42" t="s">
        <v>278</v>
      </c>
      <c r="G42" t="s">
        <v>279</v>
      </c>
      <c r="H42">
        <v>99999</v>
      </c>
      <c r="I42" t="s">
        <v>188</v>
      </c>
      <c r="J42" t="s">
        <v>218</v>
      </c>
      <c r="K42" t="s">
        <v>219</v>
      </c>
      <c r="M42" t="s">
        <v>220</v>
      </c>
      <c r="N42" t="s">
        <v>280</v>
      </c>
      <c r="O42" t="s">
        <v>277</v>
      </c>
      <c r="P42" t="s">
        <v>278</v>
      </c>
      <c r="Q42" t="s">
        <v>279</v>
      </c>
      <c r="R42">
        <v>99999</v>
      </c>
      <c r="S42" t="s">
        <v>188</v>
      </c>
      <c r="U42" t="s">
        <v>281</v>
      </c>
      <c r="V42" t="s">
        <v>282</v>
      </c>
      <c r="W42">
        <v>18.399999999999999</v>
      </c>
      <c r="X42">
        <v>13</v>
      </c>
      <c r="Y42" s="36">
        <v>239.2</v>
      </c>
      <c r="Z42" s="35">
        <v>23.680800000000001</v>
      </c>
    </row>
    <row r="43" spans="1:26" x14ac:dyDescent="0.25">
      <c r="A43">
        <v>1041</v>
      </c>
      <c r="B43" s="34">
        <v>41698</v>
      </c>
      <c r="C43">
        <v>28</v>
      </c>
      <c r="D43" t="s">
        <v>248</v>
      </c>
      <c r="E43" t="s">
        <v>249</v>
      </c>
      <c r="F43" t="s">
        <v>250</v>
      </c>
      <c r="G43" t="s">
        <v>251</v>
      </c>
      <c r="H43">
        <v>99999</v>
      </c>
      <c r="I43" t="s">
        <v>188</v>
      </c>
      <c r="J43" t="s">
        <v>252</v>
      </c>
      <c r="K43" t="s">
        <v>253</v>
      </c>
      <c r="L43">
        <v>41700</v>
      </c>
      <c r="M43" t="s">
        <v>220</v>
      </c>
      <c r="N43" t="s">
        <v>254</v>
      </c>
      <c r="O43" t="s">
        <v>249</v>
      </c>
      <c r="P43" t="s">
        <v>250</v>
      </c>
      <c r="Q43" t="s">
        <v>251</v>
      </c>
      <c r="R43">
        <v>99999</v>
      </c>
      <c r="S43" t="s">
        <v>188</v>
      </c>
      <c r="T43" t="s">
        <v>206</v>
      </c>
      <c r="U43" t="s">
        <v>213</v>
      </c>
      <c r="V43" t="s">
        <v>195</v>
      </c>
      <c r="W43">
        <v>46</v>
      </c>
      <c r="X43">
        <v>32</v>
      </c>
      <c r="Y43" s="36">
        <v>1472</v>
      </c>
      <c r="Z43" s="35">
        <v>148.67200000000003</v>
      </c>
    </row>
    <row r="44" spans="1:26" x14ac:dyDescent="0.25">
      <c r="A44">
        <v>1042</v>
      </c>
      <c r="B44" s="34">
        <v>41679</v>
      </c>
      <c r="C44">
        <v>9</v>
      </c>
      <c r="D44" t="s">
        <v>283</v>
      </c>
      <c r="E44" t="s">
        <v>284</v>
      </c>
      <c r="F44" t="s">
        <v>285</v>
      </c>
      <c r="G44" t="s">
        <v>286</v>
      </c>
      <c r="H44">
        <v>99999</v>
      </c>
      <c r="I44" t="s">
        <v>188</v>
      </c>
      <c r="J44" t="s">
        <v>287</v>
      </c>
      <c r="K44" t="s">
        <v>190</v>
      </c>
      <c r="L44" s="34">
        <v>41681</v>
      </c>
      <c r="M44" t="s">
        <v>204</v>
      </c>
      <c r="N44" t="s">
        <v>288</v>
      </c>
      <c r="O44" t="s">
        <v>284</v>
      </c>
      <c r="P44" t="s">
        <v>285</v>
      </c>
      <c r="Q44" t="s">
        <v>286</v>
      </c>
      <c r="R44">
        <v>99999</v>
      </c>
      <c r="S44" t="s">
        <v>188</v>
      </c>
      <c r="T44" t="s">
        <v>193</v>
      </c>
      <c r="U44" t="s">
        <v>238</v>
      </c>
      <c r="V44" t="s">
        <v>239</v>
      </c>
      <c r="W44">
        <v>9.65</v>
      </c>
      <c r="X44">
        <v>27</v>
      </c>
      <c r="Y44" s="36">
        <v>260.55</v>
      </c>
      <c r="Z44" s="35">
        <v>24.752250000000004</v>
      </c>
    </row>
    <row r="45" spans="1:26" x14ac:dyDescent="0.25">
      <c r="A45">
        <v>1043</v>
      </c>
      <c r="B45" s="34">
        <v>41676</v>
      </c>
      <c r="C45">
        <v>6</v>
      </c>
      <c r="D45" t="s">
        <v>240</v>
      </c>
      <c r="E45" t="s">
        <v>241</v>
      </c>
      <c r="F45" t="s">
        <v>242</v>
      </c>
      <c r="G45" t="s">
        <v>243</v>
      </c>
      <c r="H45">
        <v>99999</v>
      </c>
      <c r="I45" t="s">
        <v>188</v>
      </c>
      <c r="J45" t="s">
        <v>244</v>
      </c>
      <c r="K45" t="s">
        <v>219</v>
      </c>
      <c r="L45" s="34">
        <v>41678</v>
      </c>
      <c r="M45" t="s">
        <v>191</v>
      </c>
      <c r="N45" t="s">
        <v>245</v>
      </c>
      <c r="O45" t="s">
        <v>241</v>
      </c>
      <c r="P45" t="s">
        <v>242</v>
      </c>
      <c r="Q45" t="s">
        <v>243</v>
      </c>
      <c r="R45">
        <v>99999</v>
      </c>
      <c r="S45" t="s">
        <v>188</v>
      </c>
      <c r="T45" t="s">
        <v>206</v>
      </c>
      <c r="U45" t="s">
        <v>230</v>
      </c>
      <c r="V45" t="s">
        <v>231</v>
      </c>
      <c r="W45">
        <v>12.75</v>
      </c>
      <c r="X45">
        <v>71</v>
      </c>
      <c r="Y45" s="36">
        <v>905.25</v>
      </c>
      <c r="Z45" s="35">
        <v>91.430250000000001</v>
      </c>
    </row>
    <row r="46" spans="1:26" x14ac:dyDescent="0.25">
      <c r="A46">
        <v>1044</v>
      </c>
      <c r="B46" s="34">
        <v>41678</v>
      </c>
      <c r="C46">
        <v>8</v>
      </c>
      <c r="D46" t="s">
        <v>214</v>
      </c>
      <c r="E46" t="s">
        <v>215</v>
      </c>
      <c r="F46" t="s">
        <v>216</v>
      </c>
      <c r="G46" t="s">
        <v>217</v>
      </c>
      <c r="H46">
        <v>99999</v>
      </c>
      <c r="I46" t="s">
        <v>188</v>
      </c>
      <c r="J46" t="s">
        <v>218</v>
      </c>
      <c r="K46" t="s">
        <v>219</v>
      </c>
      <c r="L46" s="34">
        <v>41680</v>
      </c>
      <c r="M46" t="s">
        <v>191</v>
      </c>
      <c r="N46" t="s">
        <v>221</v>
      </c>
      <c r="O46" t="s">
        <v>215</v>
      </c>
      <c r="P46" t="s">
        <v>216</v>
      </c>
      <c r="Q46" t="s">
        <v>217</v>
      </c>
      <c r="R46">
        <v>99999</v>
      </c>
      <c r="S46" t="s">
        <v>188</v>
      </c>
      <c r="T46" t="s">
        <v>193</v>
      </c>
      <c r="U46" t="s">
        <v>230</v>
      </c>
      <c r="V46" t="s">
        <v>231</v>
      </c>
      <c r="W46">
        <v>12.75</v>
      </c>
      <c r="X46">
        <v>13</v>
      </c>
      <c r="Y46" s="36">
        <v>165.75</v>
      </c>
      <c r="Z46" s="35">
        <v>15.746249999999998</v>
      </c>
    </row>
    <row r="47" spans="1:26" x14ac:dyDescent="0.25">
      <c r="A47">
        <v>1045</v>
      </c>
      <c r="B47" s="34">
        <v>41695</v>
      </c>
      <c r="C47">
        <v>25</v>
      </c>
      <c r="D47" t="s">
        <v>295</v>
      </c>
      <c r="E47" t="s">
        <v>296</v>
      </c>
      <c r="F47" t="s">
        <v>257</v>
      </c>
      <c r="G47" t="s">
        <v>258</v>
      </c>
      <c r="H47">
        <v>99999</v>
      </c>
      <c r="I47" t="s">
        <v>188</v>
      </c>
      <c r="J47" t="s">
        <v>259</v>
      </c>
      <c r="K47" t="s">
        <v>203</v>
      </c>
      <c r="L47" s="34">
        <v>41697</v>
      </c>
      <c r="M47" t="s">
        <v>204</v>
      </c>
      <c r="N47" t="s">
        <v>297</v>
      </c>
      <c r="O47" t="s">
        <v>296</v>
      </c>
      <c r="P47" t="s">
        <v>257</v>
      </c>
      <c r="Q47" t="s">
        <v>258</v>
      </c>
      <c r="R47">
        <v>99999</v>
      </c>
      <c r="S47" t="s">
        <v>188</v>
      </c>
      <c r="T47" t="s">
        <v>237</v>
      </c>
      <c r="U47" t="s">
        <v>269</v>
      </c>
      <c r="V47" t="s">
        <v>270</v>
      </c>
      <c r="W47">
        <v>22</v>
      </c>
      <c r="X47">
        <v>98</v>
      </c>
      <c r="Y47" s="36">
        <v>2156</v>
      </c>
      <c r="Z47" s="35">
        <v>204.82000000000002</v>
      </c>
    </row>
    <row r="48" spans="1:26" x14ac:dyDescent="0.25">
      <c r="A48">
        <v>1046</v>
      </c>
      <c r="B48" s="34">
        <v>41696</v>
      </c>
      <c r="C48">
        <v>26</v>
      </c>
      <c r="D48" t="s">
        <v>298</v>
      </c>
      <c r="E48" t="s">
        <v>299</v>
      </c>
      <c r="F48" t="s">
        <v>273</v>
      </c>
      <c r="G48" t="s">
        <v>274</v>
      </c>
      <c r="H48">
        <v>99999</v>
      </c>
      <c r="I48" t="s">
        <v>188</v>
      </c>
      <c r="J48" t="s">
        <v>252</v>
      </c>
      <c r="K48" t="s">
        <v>253</v>
      </c>
      <c r="L48" s="34">
        <v>41698</v>
      </c>
      <c r="M48" t="s">
        <v>220</v>
      </c>
      <c r="N48" t="s">
        <v>300</v>
      </c>
      <c r="O48" t="s">
        <v>299</v>
      </c>
      <c r="P48" t="s">
        <v>273</v>
      </c>
      <c r="Q48" t="s">
        <v>274</v>
      </c>
      <c r="R48">
        <v>99999</v>
      </c>
      <c r="S48" t="s">
        <v>188</v>
      </c>
      <c r="T48" t="s">
        <v>206</v>
      </c>
      <c r="U48" t="s">
        <v>267</v>
      </c>
      <c r="V48" t="s">
        <v>268</v>
      </c>
      <c r="W48">
        <v>25</v>
      </c>
      <c r="X48">
        <v>21</v>
      </c>
      <c r="Y48" s="36">
        <v>525</v>
      </c>
      <c r="Z48" s="35">
        <v>53.550000000000004</v>
      </c>
    </row>
    <row r="49" spans="1:26" x14ac:dyDescent="0.25">
      <c r="A49">
        <v>1047</v>
      </c>
      <c r="B49" s="34">
        <v>41699</v>
      </c>
      <c r="C49">
        <v>29</v>
      </c>
      <c r="D49" t="s">
        <v>224</v>
      </c>
      <c r="E49" t="s">
        <v>225</v>
      </c>
      <c r="F49" t="s">
        <v>226</v>
      </c>
      <c r="G49" t="s">
        <v>227</v>
      </c>
      <c r="H49">
        <v>99999</v>
      </c>
      <c r="I49" t="s">
        <v>188</v>
      </c>
      <c r="J49" t="s">
        <v>228</v>
      </c>
      <c r="K49" t="s">
        <v>190</v>
      </c>
      <c r="L49" s="34">
        <v>41701</v>
      </c>
      <c r="M49" t="s">
        <v>191</v>
      </c>
      <c r="N49" t="s">
        <v>229</v>
      </c>
      <c r="O49" t="s">
        <v>225</v>
      </c>
      <c r="P49" t="s">
        <v>226</v>
      </c>
      <c r="Q49" t="s">
        <v>227</v>
      </c>
      <c r="R49">
        <v>99999</v>
      </c>
      <c r="S49" t="s">
        <v>188</v>
      </c>
      <c r="T49" t="s">
        <v>193</v>
      </c>
      <c r="U49" t="s">
        <v>301</v>
      </c>
      <c r="V49" t="s">
        <v>302</v>
      </c>
      <c r="W49">
        <v>39</v>
      </c>
      <c r="X49">
        <v>26</v>
      </c>
      <c r="Y49" s="36">
        <v>1014</v>
      </c>
      <c r="Z49" s="35">
        <v>106.47000000000001</v>
      </c>
    </row>
    <row r="50" spans="1:26" x14ac:dyDescent="0.25">
      <c r="A50">
        <v>1048</v>
      </c>
      <c r="B50" s="34">
        <v>41676</v>
      </c>
      <c r="C50">
        <v>6</v>
      </c>
      <c r="D50" t="s">
        <v>240</v>
      </c>
      <c r="E50" t="s">
        <v>241</v>
      </c>
      <c r="F50" t="s">
        <v>242</v>
      </c>
      <c r="G50" t="s">
        <v>243</v>
      </c>
      <c r="H50">
        <v>99999</v>
      </c>
      <c r="I50" t="s">
        <v>188</v>
      </c>
      <c r="J50" t="s">
        <v>244</v>
      </c>
      <c r="K50" t="s">
        <v>219</v>
      </c>
      <c r="L50" s="34">
        <v>41678</v>
      </c>
      <c r="M50" t="s">
        <v>220</v>
      </c>
      <c r="N50" t="s">
        <v>245</v>
      </c>
      <c r="O50" t="s">
        <v>241</v>
      </c>
      <c r="P50" t="s">
        <v>242</v>
      </c>
      <c r="Q50" t="s">
        <v>243</v>
      </c>
      <c r="R50">
        <v>99999</v>
      </c>
      <c r="S50" t="s">
        <v>188</v>
      </c>
      <c r="T50" t="s">
        <v>193</v>
      </c>
      <c r="U50" t="s">
        <v>207</v>
      </c>
      <c r="V50" t="s">
        <v>197</v>
      </c>
      <c r="W50">
        <v>30</v>
      </c>
      <c r="X50">
        <v>96</v>
      </c>
      <c r="Y50" s="36">
        <v>2880</v>
      </c>
      <c r="Z50" s="35">
        <v>296.64</v>
      </c>
    </row>
    <row r="51" spans="1:26" x14ac:dyDescent="0.25">
      <c r="A51">
        <v>1049</v>
      </c>
      <c r="B51" s="34">
        <v>41676</v>
      </c>
      <c r="C51">
        <v>6</v>
      </c>
      <c r="D51" t="s">
        <v>240</v>
      </c>
      <c r="E51" t="s">
        <v>241</v>
      </c>
      <c r="F51" t="s">
        <v>242</v>
      </c>
      <c r="G51" t="s">
        <v>243</v>
      </c>
      <c r="H51">
        <v>99999</v>
      </c>
      <c r="I51" t="s">
        <v>188</v>
      </c>
      <c r="J51" t="s">
        <v>244</v>
      </c>
      <c r="K51" t="s">
        <v>219</v>
      </c>
      <c r="L51" s="34">
        <v>41678</v>
      </c>
      <c r="M51" t="s">
        <v>220</v>
      </c>
      <c r="N51" t="s">
        <v>245</v>
      </c>
      <c r="O51" t="s">
        <v>241</v>
      </c>
      <c r="P51" t="s">
        <v>242</v>
      </c>
      <c r="Q51" t="s">
        <v>243</v>
      </c>
      <c r="R51">
        <v>99999</v>
      </c>
      <c r="S51" t="s">
        <v>188</v>
      </c>
      <c r="T51" t="s">
        <v>193</v>
      </c>
      <c r="U51" t="s">
        <v>208</v>
      </c>
      <c r="V51" t="s">
        <v>197</v>
      </c>
      <c r="W51">
        <v>53</v>
      </c>
      <c r="X51">
        <v>16</v>
      </c>
      <c r="Y51" s="36">
        <v>848</v>
      </c>
      <c r="Z51" s="35">
        <v>88.192000000000021</v>
      </c>
    </row>
    <row r="52" spans="1:26" x14ac:dyDescent="0.25">
      <c r="A52">
        <v>1050</v>
      </c>
      <c r="B52" s="34">
        <v>41674</v>
      </c>
      <c r="C52">
        <v>4</v>
      </c>
      <c r="D52" t="s">
        <v>198</v>
      </c>
      <c r="E52" t="s">
        <v>199</v>
      </c>
      <c r="F52" t="s">
        <v>200</v>
      </c>
      <c r="G52" t="s">
        <v>201</v>
      </c>
      <c r="H52">
        <v>99999</v>
      </c>
      <c r="I52" t="s">
        <v>188</v>
      </c>
      <c r="J52" t="s">
        <v>202</v>
      </c>
      <c r="K52" t="s">
        <v>203</v>
      </c>
      <c r="L52" s="34"/>
      <c r="N52" t="s">
        <v>205</v>
      </c>
      <c r="O52" t="s">
        <v>199</v>
      </c>
      <c r="P52" t="s">
        <v>200</v>
      </c>
      <c r="Q52" t="s">
        <v>201</v>
      </c>
      <c r="R52">
        <v>99999</v>
      </c>
      <c r="S52" t="s">
        <v>188</v>
      </c>
      <c r="U52" t="s">
        <v>303</v>
      </c>
      <c r="V52" t="s">
        <v>290</v>
      </c>
      <c r="W52">
        <v>38</v>
      </c>
      <c r="X52">
        <v>96</v>
      </c>
      <c r="Y52" s="36">
        <v>3648</v>
      </c>
      <c r="Z52" s="35">
        <v>346.56</v>
      </c>
    </row>
    <row r="53" spans="1:26" x14ac:dyDescent="0.25">
      <c r="A53">
        <v>1051</v>
      </c>
      <c r="B53" s="34">
        <v>41673</v>
      </c>
      <c r="C53">
        <v>3</v>
      </c>
      <c r="D53" t="s">
        <v>232</v>
      </c>
      <c r="E53" t="s">
        <v>233</v>
      </c>
      <c r="F53" t="s">
        <v>234</v>
      </c>
      <c r="G53" t="s">
        <v>235</v>
      </c>
      <c r="H53">
        <v>99999</v>
      </c>
      <c r="I53" t="s">
        <v>188</v>
      </c>
      <c r="J53" t="s">
        <v>189</v>
      </c>
      <c r="K53" t="s">
        <v>190</v>
      </c>
      <c r="N53" t="s">
        <v>236</v>
      </c>
      <c r="O53" t="s">
        <v>233</v>
      </c>
      <c r="P53" t="s">
        <v>234</v>
      </c>
      <c r="Q53" t="s">
        <v>235</v>
      </c>
      <c r="R53">
        <v>99999</v>
      </c>
      <c r="S53" t="s">
        <v>188</v>
      </c>
      <c r="U53" t="s">
        <v>261</v>
      </c>
      <c r="V53" t="s">
        <v>195</v>
      </c>
      <c r="W53">
        <v>2.99</v>
      </c>
      <c r="X53">
        <v>75</v>
      </c>
      <c r="Y53" s="36">
        <v>224.25000000000003</v>
      </c>
      <c r="Z53" s="35">
        <v>23.097750000000005</v>
      </c>
    </row>
    <row r="54" spans="1:26" x14ac:dyDescent="0.25">
      <c r="A54">
        <v>1052</v>
      </c>
      <c r="B54" s="34">
        <v>41707</v>
      </c>
      <c r="C54">
        <v>9</v>
      </c>
      <c r="D54" t="s">
        <v>283</v>
      </c>
      <c r="E54" t="s">
        <v>284</v>
      </c>
      <c r="F54" t="s">
        <v>285</v>
      </c>
      <c r="G54" t="s">
        <v>286</v>
      </c>
      <c r="H54">
        <v>99999</v>
      </c>
      <c r="I54" t="s">
        <v>188</v>
      </c>
      <c r="J54" t="s">
        <v>287</v>
      </c>
      <c r="K54" t="s">
        <v>190</v>
      </c>
      <c r="L54">
        <v>41709</v>
      </c>
      <c r="M54" t="s">
        <v>204</v>
      </c>
      <c r="N54" t="s">
        <v>288</v>
      </c>
      <c r="O54" t="s">
        <v>284</v>
      </c>
      <c r="P54" t="s">
        <v>285</v>
      </c>
      <c r="Q54" t="s">
        <v>286</v>
      </c>
      <c r="R54">
        <v>99999</v>
      </c>
      <c r="S54" t="s">
        <v>188</v>
      </c>
      <c r="T54" t="s">
        <v>193</v>
      </c>
      <c r="U54" t="s">
        <v>289</v>
      </c>
      <c r="V54" t="s">
        <v>290</v>
      </c>
      <c r="W54">
        <v>19.5</v>
      </c>
      <c r="X54">
        <v>55</v>
      </c>
      <c r="Y54" s="36">
        <v>1072.5</v>
      </c>
      <c r="Z54" s="35">
        <v>108.32250000000001</v>
      </c>
    </row>
    <row r="55" spans="1:26" x14ac:dyDescent="0.25">
      <c r="A55">
        <v>1053</v>
      </c>
      <c r="B55" s="34">
        <v>41707</v>
      </c>
      <c r="C55">
        <v>9</v>
      </c>
      <c r="D55" t="s">
        <v>283</v>
      </c>
      <c r="E55" t="s">
        <v>284</v>
      </c>
      <c r="F55" t="s">
        <v>285</v>
      </c>
      <c r="G55" t="s">
        <v>286</v>
      </c>
      <c r="H55">
        <v>99999</v>
      </c>
      <c r="I55" t="s">
        <v>188</v>
      </c>
      <c r="J55" t="s">
        <v>287</v>
      </c>
      <c r="K55" t="s">
        <v>190</v>
      </c>
      <c r="L55" s="34">
        <v>41709</v>
      </c>
      <c r="M55" t="s">
        <v>204</v>
      </c>
      <c r="N55" t="s">
        <v>288</v>
      </c>
      <c r="O55" t="s">
        <v>284</v>
      </c>
      <c r="P55" t="s">
        <v>285</v>
      </c>
      <c r="Q55" t="s">
        <v>286</v>
      </c>
      <c r="R55">
        <v>99999</v>
      </c>
      <c r="S55" t="s">
        <v>188</v>
      </c>
      <c r="T55" t="s">
        <v>193</v>
      </c>
      <c r="U55" t="s">
        <v>291</v>
      </c>
      <c r="V55" t="s">
        <v>292</v>
      </c>
      <c r="W55" s="35">
        <v>34.799999999999997</v>
      </c>
      <c r="X55">
        <v>11</v>
      </c>
      <c r="Y55" s="36">
        <v>382.79999999999995</v>
      </c>
      <c r="Z55" s="35">
        <v>36.748799999999996</v>
      </c>
    </row>
    <row r="56" spans="1:26" x14ac:dyDescent="0.25">
      <c r="A56">
        <v>1054</v>
      </c>
      <c r="B56" s="34">
        <v>41704</v>
      </c>
      <c r="C56">
        <v>6</v>
      </c>
      <c r="D56" t="s">
        <v>240</v>
      </c>
      <c r="E56" t="s">
        <v>241</v>
      </c>
      <c r="F56" t="s">
        <v>242</v>
      </c>
      <c r="G56" t="s">
        <v>243</v>
      </c>
      <c r="H56">
        <v>99999</v>
      </c>
      <c r="I56" t="s">
        <v>188</v>
      </c>
      <c r="J56" t="s">
        <v>244</v>
      </c>
      <c r="K56" t="s">
        <v>219</v>
      </c>
      <c r="L56" s="34">
        <v>41706</v>
      </c>
      <c r="M56" t="s">
        <v>191</v>
      </c>
      <c r="N56" t="s">
        <v>245</v>
      </c>
      <c r="O56" t="s">
        <v>241</v>
      </c>
      <c r="P56" t="s">
        <v>242</v>
      </c>
      <c r="Q56" t="s">
        <v>243</v>
      </c>
      <c r="R56">
        <v>99999</v>
      </c>
      <c r="S56" t="s">
        <v>188</v>
      </c>
      <c r="T56" t="s">
        <v>206</v>
      </c>
      <c r="U56" t="s">
        <v>194</v>
      </c>
      <c r="V56" t="s">
        <v>195</v>
      </c>
      <c r="W56" s="35">
        <v>14</v>
      </c>
      <c r="X56">
        <v>53</v>
      </c>
      <c r="Y56" s="36">
        <v>742</v>
      </c>
      <c r="Z56" s="35">
        <v>71.974000000000004</v>
      </c>
    </row>
    <row r="57" spans="1:26" x14ac:dyDescent="0.25">
      <c r="A57">
        <v>1055</v>
      </c>
      <c r="B57" s="34">
        <v>41706</v>
      </c>
      <c r="C57">
        <v>8</v>
      </c>
      <c r="D57" t="s">
        <v>214</v>
      </c>
      <c r="E57" t="s">
        <v>215</v>
      </c>
      <c r="F57" t="s">
        <v>216</v>
      </c>
      <c r="G57" t="s">
        <v>217</v>
      </c>
      <c r="H57">
        <v>99999</v>
      </c>
      <c r="I57" t="s">
        <v>188</v>
      </c>
      <c r="J57" t="s">
        <v>218</v>
      </c>
      <c r="K57" t="s">
        <v>219</v>
      </c>
      <c r="L57" s="34">
        <v>41708</v>
      </c>
      <c r="M57" t="s">
        <v>191</v>
      </c>
      <c r="N57" t="s">
        <v>221</v>
      </c>
      <c r="O57" t="s">
        <v>215</v>
      </c>
      <c r="P57" t="s">
        <v>216</v>
      </c>
      <c r="Q57" t="s">
        <v>217</v>
      </c>
      <c r="R57">
        <v>99999</v>
      </c>
      <c r="S57" t="s">
        <v>188</v>
      </c>
      <c r="T57" t="s">
        <v>193</v>
      </c>
      <c r="U57" t="s">
        <v>246</v>
      </c>
      <c r="V57" t="s">
        <v>247</v>
      </c>
      <c r="W57" s="35">
        <v>40</v>
      </c>
      <c r="X57">
        <v>85</v>
      </c>
      <c r="Y57" s="36">
        <v>3400</v>
      </c>
      <c r="Z57" s="35">
        <v>357</v>
      </c>
    </row>
    <row r="58" spans="1:26" x14ac:dyDescent="0.25">
      <c r="A58">
        <v>1056</v>
      </c>
      <c r="B58" s="34">
        <v>41706</v>
      </c>
      <c r="C58">
        <v>8</v>
      </c>
      <c r="D58" t="s">
        <v>214</v>
      </c>
      <c r="E58" t="s">
        <v>215</v>
      </c>
      <c r="F58" t="s">
        <v>216</v>
      </c>
      <c r="G58" t="s">
        <v>217</v>
      </c>
      <c r="H58">
        <v>99999</v>
      </c>
      <c r="I58" t="s">
        <v>188</v>
      </c>
      <c r="J58" t="s">
        <v>218</v>
      </c>
      <c r="K58" t="s">
        <v>219</v>
      </c>
      <c r="L58" s="34">
        <v>41708</v>
      </c>
      <c r="M58" t="s">
        <v>191</v>
      </c>
      <c r="N58" t="s">
        <v>221</v>
      </c>
      <c r="O58" t="s">
        <v>215</v>
      </c>
      <c r="P58" t="s">
        <v>216</v>
      </c>
      <c r="Q58" t="s">
        <v>217</v>
      </c>
      <c r="R58">
        <v>99999</v>
      </c>
      <c r="S58" t="s">
        <v>188</v>
      </c>
      <c r="T58" t="s">
        <v>193</v>
      </c>
      <c r="U58" t="s">
        <v>222</v>
      </c>
      <c r="V58" t="s">
        <v>223</v>
      </c>
      <c r="W58" s="35">
        <v>9.1999999999999993</v>
      </c>
      <c r="X58">
        <v>97</v>
      </c>
      <c r="Y58" s="36">
        <v>892.4</v>
      </c>
      <c r="Z58" s="35">
        <v>91.024800000000013</v>
      </c>
    </row>
    <row r="59" spans="1:26" x14ac:dyDescent="0.25">
      <c r="A59">
        <v>1057</v>
      </c>
      <c r="B59" s="34">
        <v>41723</v>
      </c>
      <c r="C59">
        <v>25</v>
      </c>
      <c r="D59" t="s">
        <v>295</v>
      </c>
      <c r="E59" t="s">
        <v>296</v>
      </c>
      <c r="F59" t="s">
        <v>257</v>
      </c>
      <c r="G59" t="s">
        <v>258</v>
      </c>
      <c r="H59">
        <v>99999</v>
      </c>
      <c r="I59" t="s">
        <v>188</v>
      </c>
      <c r="J59" t="s">
        <v>259</v>
      </c>
      <c r="K59" t="s">
        <v>203</v>
      </c>
      <c r="L59" s="34">
        <v>41725</v>
      </c>
      <c r="M59" t="s">
        <v>204</v>
      </c>
      <c r="N59" t="s">
        <v>297</v>
      </c>
      <c r="O59" t="s">
        <v>296</v>
      </c>
      <c r="P59" t="s">
        <v>257</v>
      </c>
      <c r="Q59" t="s">
        <v>258</v>
      </c>
      <c r="R59">
        <v>99999</v>
      </c>
      <c r="S59" t="s">
        <v>188</v>
      </c>
      <c r="T59" t="s">
        <v>237</v>
      </c>
      <c r="U59" t="s">
        <v>304</v>
      </c>
      <c r="V59" t="s">
        <v>223</v>
      </c>
      <c r="W59" s="35">
        <v>10</v>
      </c>
      <c r="X59">
        <v>46</v>
      </c>
      <c r="Y59" s="36">
        <v>460</v>
      </c>
      <c r="Z59" s="35">
        <v>46.46</v>
      </c>
    </row>
    <row r="60" spans="1:26" x14ac:dyDescent="0.25">
      <c r="A60">
        <v>1058</v>
      </c>
      <c r="B60" s="34">
        <v>41724</v>
      </c>
      <c r="C60">
        <v>26</v>
      </c>
      <c r="D60" t="s">
        <v>298</v>
      </c>
      <c r="E60" t="s">
        <v>299</v>
      </c>
      <c r="F60" t="s">
        <v>273</v>
      </c>
      <c r="G60" t="s">
        <v>274</v>
      </c>
      <c r="H60">
        <v>99999</v>
      </c>
      <c r="I60" t="s">
        <v>188</v>
      </c>
      <c r="J60" t="s">
        <v>252</v>
      </c>
      <c r="K60" t="s">
        <v>253</v>
      </c>
      <c r="L60" s="34">
        <v>41726</v>
      </c>
      <c r="M60" t="s">
        <v>220</v>
      </c>
      <c r="N60" t="s">
        <v>300</v>
      </c>
      <c r="O60" t="s">
        <v>299</v>
      </c>
      <c r="P60" t="s">
        <v>273</v>
      </c>
      <c r="Q60" t="s">
        <v>274</v>
      </c>
      <c r="R60">
        <v>99999</v>
      </c>
      <c r="S60" t="s">
        <v>188</v>
      </c>
      <c r="T60" t="s">
        <v>206</v>
      </c>
      <c r="U60" t="s">
        <v>305</v>
      </c>
      <c r="V60" t="s">
        <v>306</v>
      </c>
      <c r="W60" s="35">
        <v>21.35</v>
      </c>
      <c r="X60">
        <v>97</v>
      </c>
      <c r="Y60" s="36">
        <v>2070.9500000000003</v>
      </c>
      <c r="Z60" s="35">
        <v>196.74025</v>
      </c>
    </row>
    <row r="61" spans="1:26" x14ac:dyDescent="0.25">
      <c r="A61">
        <v>1059</v>
      </c>
      <c r="B61" s="34">
        <v>41724</v>
      </c>
      <c r="C61">
        <v>26</v>
      </c>
      <c r="D61" t="s">
        <v>298</v>
      </c>
      <c r="E61" t="s">
        <v>299</v>
      </c>
      <c r="F61" t="s">
        <v>273</v>
      </c>
      <c r="G61" t="s">
        <v>274</v>
      </c>
      <c r="H61">
        <v>99999</v>
      </c>
      <c r="I61" t="s">
        <v>188</v>
      </c>
      <c r="J61" t="s">
        <v>252</v>
      </c>
      <c r="K61" t="s">
        <v>253</v>
      </c>
      <c r="L61" s="34">
        <v>41726</v>
      </c>
      <c r="M61" t="s">
        <v>220</v>
      </c>
      <c r="N61" t="s">
        <v>300</v>
      </c>
      <c r="O61" t="s">
        <v>299</v>
      </c>
      <c r="P61" t="s">
        <v>273</v>
      </c>
      <c r="Q61" t="s">
        <v>274</v>
      </c>
      <c r="R61">
        <v>99999</v>
      </c>
      <c r="S61" t="s">
        <v>188</v>
      </c>
      <c r="T61" t="s">
        <v>206</v>
      </c>
      <c r="U61" t="s">
        <v>238</v>
      </c>
      <c r="V61" t="s">
        <v>239</v>
      </c>
      <c r="W61" s="35">
        <v>9.65</v>
      </c>
      <c r="X61">
        <v>97</v>
      </c>
      <c r="Y61" s="36">
        <v>936.05000000000007</v>
      </c>
      <c r="Z61" s="35">
        <v>95.477100000000021</v>
      </c>
    </row>
    <row r="62" spans="1:26" x14ac:dyDescent="0.25">
      <c r="A62">
        <v>1060</v>
      </c>
      <c r="B62" s="34">
        <v>41724</v>
      </c>
      <c r="C62">
        <v>26</v>
      </c>
      <c r="D62" t="s">
        <v>298</v>
      </c>
      <c r="E62" t="s">
        <v>299</v>
      </c>
      <c r="F62" t="s">
        <v>273</v>
      </c>
      <c r="G62" t="s">
        <v>274</v>
      </c>
      <c r="H62">
        <v>99999</v>
      </c>
      <c r="I62" t="s">
        <v>188</v>
      </c>
      <c r="J62" t="s">
        <v>252</v>
      </c>
      <c r="K62" t="s">
        <v>253</v>
      </c>
      <c r="L62" s="34">
        <v>41726</v>
      </c>
      <c r="M62" t="s">
        <v>220</v>
      </c>
      <c r="N62" t="s">
        <v>300</v>
      </c>
      <c r="O62" t="s">
        <v>299</v>
      </c>
      <c r="P62" t="s">
        <v>273</v>
      </c>
      <c r="Q62" t="s">
        <v>274</v>
      </c>
      <c r="R62">
        <v>99999</v>
      </c>
      <c r="S62" t="s">
        <v>188</v>
      </c>
      <c r="T62" t="s">
        <v>206</v>
      </c>
      <c r="U62" t="s">
        <v>281</v>
      </c>
      <c r="V62" t="s">
        <v>282</v>
      </c>
      <c r="W62" s="35">
        <v>18.399999999999999</v>
      </c>
      <c r="X62">
        <v>65</v>
      </c>
      <c r="Y62" s="36">
        <v>1196</v>
      </c>
      <c r="Z62" s="35">
        <v>123.18800000000002</v>
      </c>
    </row>
    <row r="63" spans="1:26" x14ac:dyDescent="0.25">
      <c r="A63">
        <v>1061</v>
      </c>
      <c r="B63" s="34">
        <v>41727</v>
      </c>
      <c r="C63">
        <v>29</v>
      </c>
      <c r="D63" t="s">
        <v>224</v>
      </c>
      <c r="E63" t="s">
        <v>225</v>
      </c>
      <c r="F63" t="s">
        <v>226</v>
      </c>
      <c r="G63" t="s">
        <v>227</v>
      </c>
      <c r="H63">
        <v>99999</v>
      </c>
      <c r="I63" t="s">
        <v>188</v>
      </c>
      <c r="J63" t="s">
        <v>228</v>
      </c>
      <c r="K63" t="s">
        <v>190</v>
      </c>
      <c r="L63" s="34">
        <v>41729</v>
      </c>
      <c r="M63" t="s">
        <v>191</v>
      </c>
      <c r="N63" t="s">
        <v>229</v>
      </c>
      <c r="O63" t="s">
        <v>225</v>
      </c>
      <c r="P63" t="s">
        <v>226</v>
      </c>
      <c r="Q63" t="s">
        <v>227</v>
      </c>
      <c r="R63">
        <v>99999</v>
      </c>
      <c r="S63" t="s">
        <v>188</v>
      </c>
      <c r="T63" t="s">
        <v>193</v>
      </c>
      <c r="U63" t="s">
        <v>194</v>
      </c>
      <c r="V63" t="s">
        <v>195</v>
      </c>
      <c r="W63" s="35">
        <v>14</v>
      </c>
      <c r="X63">
        <v>72</v>
      </c>
      <c r="Y63" s="36">
        <v>1008</v>
      </c>
      <c r="Z63" s="35">
        <v>100.80000000000001</v>
      </c>
    </row>
    <row r="64" spans="1:26" x14ac:dyDescent="0.25">
      <c r="A64">
        <v>1062</v>
      </c>
      <c r="B64" s="34">
        <v>41704</v>
      </c>
      <c r="C64">
        <v>6</v>
      </c>
      <c r="D64" t="s">
        <v>240</v>
      </c>
      <c r="E64" t="s">
        <v>241</v>
      </c>
      <c r="F64" t="s">
        <v>242</v>
      </c>
      <c r="G64" t="s">
        <v>243</v>
      </c>
      <c r="H64">
        <v>99999</v>
      </c>
      <c r="I64" t="s">
        <v>188</v>
      </c>
      <c r="J64" t="s">
        <v>244</v>
      </c>
      <c r="K64" t="s">
        <v>219</v>
      </c>
      <c r="L64" s="34">
        <v>41706</v>
      </c>
      <c r="M64" t="s">
        <v>220</v>
      </c>
      <c r="N64" t="s">
        <v>245</v>
      </c>
      <c r="O64" t="s">
        <v>241</v>
      </c>
      <c r="P64" t="s">
        <v>242</v>
      </c>
      <c r="Q64" t="s">
        <v>243</v>
      </c>
      <c r="R64">
        <v>99999</v>
      </c>
      <c r="S64" t="s">
        <v>188</v>
      </c>
      <c r="T64" t="s">
        <v>193</v>
      </c>
      <c r="U64" t="s">
        <v>230</v>
      </c>
      <c r="V64" t="s">
        <v>231</v>
      </c>
      <c r="W64" s="35">
        <v>12.75</v>
      </c>
      <c r="X64">
        <v>16</v>
      </c>
      <c r="Y64" s="36">
        <v>204</v>
      </c>
      <c r="Z64" s="35">
        <v>20.196000000000002</v>
      </c>
    </row>
    <row r="65" spans="1:26" x14ac:dyDescent="0.25">
      <c r="A65">
        <v>1064</v>
      </c>
      <c r="B65" s="34">
        <v>41702</v>
      </c>
      <c r="C65">
        <v>4</v>
      </c>
      <c r="D65" t="s">
        <v>198</v>
      </c>
      <c r="E65" t="s">
        <v>199</v>
      </c>
      <c r="F65" t="s">
        <v>200</v>
      </c>
      <c r="G65" t="s">
        <v>201</v>
      </c>
      <c r="H65">
        <v>99999</v>
      </c>
      <c r="I65" t="s">
        <v>188</v>
      </c>
      <c r="J65" t="s">
        <v>202</v>
      </c>
      <c r="K65" t="s">
        <v>203</v>
      </c>
      <c r="L65" s="34">
        <v>41704</v>
      </c>
      <c r="M65" t="s">
        <v>204</v>
      </c>
      <c r="N65" t="s">
        <v>205</v>
      </c>
      <c r="O65" t="s">
        <v>199</v>
      </c>
      <c r="P65" t="s">
        <v>200</v>
      </c>
      <c r="Q65" t="s">
        <v>201</v>
      </c>
      <c r="R65">
        <v>99999</v>
      </c>
      <c r="S65" t="s">
        <v>188</v>
      </c>
      <c r="T65" t="s">
        <v>206</v>
      </c>
      <c r="U65" t="s">
        <v>307</v>
      </c>
      <c r="V65" t="s">
        <v>268</v>
      </c>
      <c r="W65" s="35">
        <v>81</v>
      </c>
      <c r="X65">
        <v>77</v>
      </c>
      <c r="Y65" s="36">
        <v>6237</v>
      </c>
      <c r="Z65" s="35">
        <v>642.41100000000006</v>
      </c>
    </row>
    <row r="66" spans="1:26" x14ac:dyDescent="0.25">
      <c r="A66">
        <v>1065</v>
      </c>
      <c r="B66" s="34">
        <v>41702</v>
      </c>
      <c r="C66">
        <v>4</v>
      </c>
      <c r="D66" t="s">
        <v>198</v>
      </c>
      <c r="E66" t="s">
        <v>199</v>
      </c>
      <c r="F66" t="s">
        <v>200</v>
      </c>
      <c r="G66" t="s">
        <v>201</v>
      </c>
      <c r="H66">
        <v>99999</v>
      </c>
      <c r="I66" t="s">
        <v>188</v>
      </c>
      <c r="J66" t="s">
        <v>202</v>
      </c>
      <c r="K66" t="s">
        <v>203</v>
      </c>
      <c r="L66" s="34">
        <v>41704</v>
      </c>
      <c r="M66" t="s">
        <v>204</v>
      </c>
      <c r="N66" t="s">
        <v>205</v>
      </c>
      <c r="O66" t="s">
        <v>199</v>
      </c>
      <c r="P66" t="s">
        <v>200</v>
      </c>
      <c r="Q66" t="s">
        <v>201</v>
      </c>
      <c r="R66">
        <v>99999</v>
      </c>
      <c r="S66" t="s">
        <v>188</v>
      </c>
      <c r="T66" t="s">
        <v>206</v>
      </c>
      <c r="U66" t="s">
        <v>308</v>
      </c>
      <c r="V66" t="s">
        <v>309</v>
      </c>
      <c r="W66">
        <v>7</v>
      </c>
      <c r="X66">
        <v>37</v>
      </c>
      <c r="Y66" s="36">
        <v>259</v>
      </c>
      <c r="Z66" s="35">
        <v>24.605</v>
      </c>
    </row>
    <row r="67" spans="1:26" x14ac:dyDescent="0.25">
      <c r="A67">
        <v>1067</v>
      </c>
      <c r="B67" s="34">
        <v>41706</v>
      </c>
      <c r="C67">
        <v>8</v>
      </c>
      <c r="D67" t="s">
        <v>214</v>
      </c>
      <c r="E67" t="s">
        <v>215</v>
      </c>
      <c r="F67" t="s">
        <v>216</v>
      </c>
      <c r="G67" t="s">
        <v>217</v>
      </c>
      <c r="H67">
        <v>99999</v>
      </c>
      <c r="I67" t="s">
        <v>188</v>
      </c>
      <c r="J67" t="s">
        <v>218</v>
      </c>
      <c r="K67" t="s">
        <v>219</v>
      </c>
      <c r="L67" s="34">
        <v>41708</v>
      </c>
      <c r="M67" t="s">
        <v>220</v>
      </c>
      <c r="N67" t="s">
        <v>221</v>
      </c>
      <c r="O67" t="s">
        <v>215</v>
      </c>
      <c r="P67" t="s">
        <v>216</v>
      </c>
      <c r="Q67" t="s">
        <v>217</v>
      </c>
      <c r="R67">
        <v>99999</v>
      </c>
      <c r="S67" t="s">
        <v>188</v>
      </c>
      <c r="T67" t="s">
        <v>206</v>
      </c>
      <c r="U67" t="s">
        <v>291</v>
      </c>
      <c r="V67" t="s">
        <v>292</v>
      </c>
      <c r="W67">
        <v>34.799999999999997</v>
      </c>
      <c r="X67">
        <v>63</v>
      </c>
      <c r="Y67" s="36">
        <v>2192.3999999999996</v>
      </c>
      <c r="Z67" s="35">
        <v>217.04759999999999</v>
      </c>
    </row>
    <row r="68" spans="1:26" x14ac:dyDescent="0.25">
      <c r="A68">
        <v>1070</v>
      </c>
      <c r="B68" s="34">
        <v>41701</v>
      </c>
      <c r="C68">
        <v>3</v>
      </c>
      <c r="D68" t="s">
        <v>232</v>
      </c>
      <c r="E68" t="s">
        <v>233</v>
      </c>
      <c r="F68" t="s">
        <v>234</v>
      </c>
      <c r="G68" t="s">
        <v>235</v>
      </c>
      <c r="H68">
        <v>99999</v>
      </c>
      <c r="I68" t="s">
        <v>188</v>
      </c>
      <c r="J68" t="s">
        <v>189</v>
      </c>
      <c r="K68" t="s">
        <v>190</v>
      </c>
      <c r="L68" s="34">
        <v>41703</v>
      </c>
      <c r="M68" t="s">
        <v>191</v>
      </c>
      <c r="N68" t="s">
        <v>236</v>
      </c>
      <c r="O68" t="s">
        <v>233</v>
      </c>
      <c r="P68" t="s">
        <v>234</v>
      </c>
      <c r="Q68" t="s">
        <v>235</v>
      </c>
      <c r="R68">
        <v>99999</v>
      </c>
      <c r="S68" t="s">
        <v>188</v>
      </c>
      <c r="T68" t="s">
        <v>237</v>
      </c>
      <c r="U68" t="s">
        <v>293</v>
      </c>
      <c r="V68" t="s">
        <v>270</v>
      </c>
      <c r="W68">
        <v>10</v>
      </c>
      <c r="X68">
        <v>48</v>
      </c>
      <c r="Y68" s="36">
        <v>480</v>
      </c>
      <c r="Z68" s="35">
        <v>48</v>
      </c>
    </row>
    <row r="69" spans="1:26" x14ac:dyDescent="0.25">
      <c r="A69">
        <v>1071</v>
      </c>
      <c r="B69" s="34">
        <v>41701</v>
      </c>
      <c r="C69">
        <v>3</v>
      </c>
      <c r="D69" t="s">
        <v>232</v>
      </c>
      <c r="E69" t="s">
        <v>233</v>
      </c>
      <c r="F69" t="s">
        <v>234</v>
      </c>
      <c r="G69" t="s">
        <v>235</v>
      </c>
      <c r="H69">
        <v>99999</v>
      </c>
      <c r="I69" t="s">
        <v>188</v>
      </c>
      <c r="J69" t="s">
        <v>189</v>
      </c>
      <c r="K69" t="s">
        <v>190</v>
      </c>
      <c r="L69" s="34">
        <v>41703</v>
      </c>
      <c r="M69" t="s">
        <v>191</v>
      </c>
      <c r="N69" t="s">
        <v>236</v>
      </c>
      <c r="O69" t="s">
        <v>233</v>
      </c>
      <c r="P69" t="s">
        <v>234</v>
      </c>
      <c r="Q69" t="s">
        <v>235</v>
      </c>
      <c r="R69">
        <v>99999</v>
      </c>
      <c r="S69" t="s">
        <v>188</v>
      </c>
      <c r="T69" t="s">
        <v>237</v>
      </c>
      <c r="U69" t="s">
        <v>246</v>
      </c>
      <c r="V69" t="s">
        <v>247</v>
      </c>
      <c r="W69">
        <v>40</v>
      </c>
      <c r="X69">
        <v>71</v>
      </c>
      <c r="Y69" s="36">
        <v>2840</v>
      </c>
      <c r="Z69" s="35">
        <v>295.36</v>
      </c>
    </row>
    <row r="70" spans="1:26" x14ac:dyDescent="0.25">
      <c r="A70">
        <v>1075</v>
      </c>
      <c r="B70" s="34">
        <v>41708</v>
      </c>
      <c r="C70">
        <v>10</v>
      </c>
      <c r="D70" t="s">
        <v>255</v>
      </c>
      <c r="E70" t="s">
        <v>256</v>
      </c>
      <c r="F70" t="s">
        <v>257</v>
      </c>
      <c r="G70" t="s">
        <v>258</v>
      </c>
      <c r="H70">
        <v>99999</v>
      </c>
      <c r="I70" t="s">
        <v>188</v>
      </c>
      <c r="J70" t="s">
        <v>259</v>
      </c>
      <c r="K70" t="s">
        <v>203</v>
      </c>
      <c r="L70" s="34">
        <v>41710</v>
      </c>
      <c r="M70" t="s">
        <v>191</v>
      </c>
      <c r="N70" t="s">
        <v>260</v>
      </c>
      <c r="O70" t="s">
        <v>256</v>
      </c>
      <c r="P70" t="s">
        <v>257</v>
      </c>
      <c r="Q70" t="s">
        <v>258</v>
      </c>
      <c r="R70">
        <v>99999</v>
      </c>
      <c r="S70" t="s">
        <v>188</v>
      </c>
      <c r="T70" t="s">
        <v>206</v>
      </c>
      <c r="U70" t="s">
        <v>294</v>
      </c>
      <c r="V70" t="s">
        <v>197</v>
      </c>
      <c r="W70">
        <v>10</v>
      </c>
      <c r="X70">
        <v>55</v>
      </c>
      <c r="Y70" s="36">
        <v>550</v>
      </c>
      <c r="Z70" s="35">
        <v>55</v>
      </c>
    </row>
    <row r="71" spans="1:26" x14ac:dyDescent="0.25">
      <c r="A71">
        <v>1077</v>
      </c>
      <c r="B71" s="34">
        <v>41708</v>
      </c>
      <c r="C71">
        <v>10</v>
      </c>
      <c r="D71" t="s">
        <v>255</v>
      </c>
      <c r="E71" t="s">
        <v>256</v>
      </c>
      <c r="F71" t="s">
        <v>257</v>
      </c>
      <c r="G71" t="s">
        <v>258</v>
      </c>
      <c r="H71">
        <v>99999</v>
      </c>
      <c r="I71" t="s">
        <v>188</v>
      </c>
      <c r="J71" t="s">
        <v>259</v>
      </c>
      <c r="K71" t="s">
        <v>203</v>
      </c>
      <c r="L71" s="34"/>
      <c r="M71" t="s">
        <v>204</v>
      </c>
      <c r="N71" t="s">
        <v>260</v>
      </c>
      <c r="O71" t="s">
        <v>256</v>
      </c>
      <c r="P71" t="s">
        <v>257</v>
      </c>
      <c r="Q71" t="s">
        <v>258</v>
      </c>
      <c r="R71">
        <v>99999</v>
      </c>
      <c r="S71" t="s">
        <v>188</v>
      </c>
      <c r="U71" t="s">
        <v>196</v>
      </c>
      <c r="V71" t="s">
        <v>197</v>
      </c>
      <c r="W71">
        <v>3.5</v>
      </c>
      <c r="X71">
        <v>21</v>
      </c>
      <c r="Y71" s="36">
        <v>73.5</v>
      </c>
      <c r="Z71" s="35">
        <v>7.3500000000000005</v>
      </c>
    </row>
    <row r="72" spans="1:26" x14ac:dyDescent="0.25">
      <c r="A72">
        <v>1078</v>
      </c>
      <c r="B72" s="34">
        <v>41709</v>
      </c>
      <c r="C72">
        <v>11</v>
      </c>
      <c r="D72" t="s">
        <v>271</v>
      </c>
      <c r="E72" t="s">
        <v>272</v>
      </c>
      <c r="F72" t="s">
        <v>273</v>
      </c>
      <c r="G72" t="s">
        <v>274</v>
      </c>
      <c r="H72">
        <v>99999</v>
      </c>
      <c r="I72" t="s">
        <v>188</v>
      </c>
      <c r="J72" t="s">
        <v>252</v>
      </c>
      <c r="K72" t="s">
        <v>253</v>
      </c>
      <c r="L72" s="34"/>
      <c r="M72" t="s">
        <v>220</v>
      </c>
      <c r="N72" t="s">
        <v>275</v>
      </c>
      <c r="O72" t="s">
        <v>272</v>
      </c>
      <c r="P72" t="s">
        <v>273</v>
      </c>
      <c r="Q72" t="s">
        <v>274</v>
      </c>
      <c r="R72">
        <v>99999</v>
      </c>
      <c r="S72" t="s">
        <v>188</v>
      </c>
      <c r="U72" t="s">
        <v>246</v>
      </c>
      <c r="V72" t="s">
        <v>247</v>
      </c>
      <c r="W72">
        <v>40</v>
      </c>
      <c r="X72">
        <v>67</v>
      </c>
      <c r="Y72" s="36">
        <v>2680</v>
      </c>
      <c r="Z72" s="35">
        <v>270.68</v>
      </c>
    </row>
    <row r="73" spans="1:26" x14ac:dyDescent="0.25">
      <c r="A73">
        <v>1079</v>
      </c>
      <c r="B73" s="34">
        <v>41699</v>
      </c>
      <c r="C73">
        <v>1</v>
      </c>
      <c r="D73" t="s">
        <v>276</v>
      </c>
      <c r="E73" t="s">
        <v>277</v>
      </c>
      <c r="F73" t="s">
        <v>278</v>
      </c>
      <c r="G73" t="s">
        <v>279</v>
      </c>
      <c r="H73">
        <v>99999</v>
      </c>
      <c r="I73" t="s">
        <v>188</v>
      </c>
      <c r="J73" t="s">
        <v>218</v>
      </c>
      <c r="K73" t="s">
        <v>219</v>
      </c>
      <c r="L73" s="34"/>
      <c r="M73" t="s">
        <v>220</v>
      </c>
      <c r="N73" t="s">
        <v>280</v>
      </c>
      <c r="O73" t="s">
        <v>277</v>
      </c>
      <c r="P73" t="s">
        <v>278</v>
      </c>
      <c r="Q73" t="s">
        <v>279</v>
      </c>
      <c r="R73">
        <v>99999</v>
      </c>
      <c r="S73" t="s">
        <v>188</v>
      </c>
      <c r="U73" t="s">
        <v>281</v>
      </c>
      <c r="V73" t="s">
        <v>282</v>
      </c>
      <c r="W73">
        <v>18.399999999999999</v>
      </c>
      <c r="X73">
        <v>75</v>
      </c>
      <c r="Y73" s="36">
        <v>1380</v>
      </c>
      <c r="Z73" s="35">
        <v>138</v>
      </c>
    </row>
    <row r="74" spans="1:26" x14ac:dyDescent="0.25">
      <c r="A74">
        <v>1080</v>
      </c>
      <c r="B74" s="34">
        <v>41726</v>
      </c>
      <c r="C74">
        <v>28</v>
      </c>
      <c r="D74" t="s">
        <v>248</v>
      </c>
      <c r="E74" t="s">
        <v>249</v>
      </c>
      <c r="F74" t="s">
        <v>250</v>
      </c>
      <c r="G74" t="s">
        <v>251</v>
      </c>
      <c r="H74">
        <v>99999</v>
      </c>
      <c r="I74" t="s">
        <v>188</v>
      </c>
      <c r="J74" t="s">
        <v>252</v>
      </c>
      <c r="K74" t="s">
        <v>253</v>
      </c>
      <c r="L74" s="34">
        <v>41728</v>
      </c>
      <c r="M74" t="s">
        <v>220</v>
      </c>
      <c r="N74" t="s">
        <v>254</v>
      </c>
      <c r="O74" t="s">
        <v>249</v>
      </c>
      <c r="P74" t="s">
        <v>250</v>
      </c>
      <c r="Q74" t="s">
        <v>251</v>
      </c>
      <c r="R74">
        <v>99999</v>
      </c>
      <c r="S74" t="s">
        <v>188</v>
      </c>
      <c r="T74" t="s">
        <v>206</v>
      </c>
      <c r="U74" t="s">
        <v>213</v>
      </c>
      <c r="V74" t="s">
        <v>195</v>
      </c>
      <c r="W74">
        <v>46</v>
      </c>
      <c r="X74">
        <v>17</v>
      </c>
      <c r="Y74" s="36">
        <v>782</v>
      </c>
      <c r="Z74" s="35">
        <v>80.546000000000006</v>
      </c>
    </row>
    <row r="75" spans="1:26" x14ac:dyDescent="0.25">
      <c r="A75">
        <v>1081</v>
      </c>
      <c r="B75" s="34">
        <v>41733</v>
      </c>
      <c r="C75">
        <v>4</v>
      </c>
      <c r="D75" t="s">
        <v>198</v>
      </c>
      <c r="E75" t="s">
        <v>199</v>
      </c>
      <c r="F75" t="s">
        <v>200</v>
      </c>
      <c r="G75" t="s">
        <v>201</v>
      </c>
      <c r="H75">
        <v>99999</v>
      </c>
      <c r="I75" t="s">
        <v>188</v>
      </c>
      <c r="J75" t="s">
        <v>202</v>
      </c>
      <c r="K75" t="s">
        <v>203</v>
      </c>
      <c r="L75" s="34">
        <v>41735</v>
      </c>
      <c r="M75" t="s">
        <v>204</v>
      </c>
      <c r="N75" t="s">
        <v>205</v>
      </c>
      <c r="O75" t="s">
        <v>199</v>
      </c>
      <c r="P75" t="s">
        <v>200</v>
      </c>
      <c r="Q75" t="s">
        <v>201</v>
      </c>
      <c r="R75">
        <v>99999</v>
      </c>
      <c r="S75" t="s">
        <v>188</v>
      </c>
      <c r="T75" t="s">
        <v>206</v>
      </c>
      <c r="U75" t="s">
        <v>196</v>
      </c>
      <c r="V75" t="s">
        <v>197</v>
      </c>
      <c r="W75">
        <v>3.5</v>
      </c>
      <c r="X75">
        <v>48</v>
      </c>
      <c r="Y75" s="36">
        <v>168</v>
      </c>
      <c r="Z75" s="35">
        <v>16.295999999999999</v>
      </c>
    </row>
    <row r="76" spans="1:26" x14ac:dyDescent="0.25">
      <c r="A76">
        <v>1082</v>
      </c>
      <c r="B76" s="34">
        <v>41741</v>
      </c>
      <c r="C76">
        <v>12</v>
      </c>
      <c r="D76" t="s">
        <v>209</v>
      </c>
      <c r="E76" t="s">
        <v>210</v>
      </c>
      <c r="F76" t="s">
        <v>186</v>
      </c>
      <c r="G76" t="s">
        <v>187</v>
      </c>
      <c r="H76">
        <v>99999</v>
      </c>
      <c r="I76" t="s">
        <v>188</v>
      </c>
      <c r="J76" t="s">
        <v>189</v>
      </c>
      <c r="K76" t="s">
        <v>190</v>
      </c>
      <c r="L76" s="34">
        <v>41743</v>
      </c>
      <c r="M76" t="s">
        <v>191</v>
      </c>
      <c r="N76" t="s">
        <v>211</v>
      </c>
      <c r="O76" t="s">
        <v>210</v>
      </c>
      <c r="P76" t="s">
        <v>186</v>
      </c>
      <c r="Q76" t="s">
        <v>187</v>
      </c>
      <c r="R76">
        <v>99999</v>
      </c>
      <c r="S76" t="s">
        <v>188</v>
      </c>
      <c r="T76" t="s">
        <v>206</v>
      </c>
      <c r="U76" t="s">
        <v>212</v>
      </c>
      <c r="V76" t="s">
        <v>195</v>
      </c>
      <c r="W76">
        <v>18</v>
      </c>
      <c r="X76">
        <v>74</v>
      </c>
      <c r="Y76" s="36">
        <v>1332</v>
      </c>
      <c r="Z76" s="35">
        <v>137.19600000000003</v>
      </c>
    </row>
    <row r="77" spans="1:26" x14ac:dyDescent="0.25">
      <c r="A77">
        <v>1083</v>
      </c>
      <c r="B77" s="34">
        <v>41741</v>
      </c>
      <c r="C77">
        <v>12</v>
      </c>
      <c r="D77" t="s">
        <v>209</v>
      </c>
      <c r="E77" t="s">
        <v>210</v>
      </c>
      <c r="F77" t="s">
        <v>186</v>
      </c>
      <c r="G77" t="s">
        <v>187</v>
      </c>
      <c r="H77">
        <v>99999</v>
      </c>
      <c r="I77" t="s">
        <v>188</v>
      </c>
      <c r="J77" t="s">
        <v>189</v>
      </c>
      <c r="K77" t="s">
        <v>190</v>
      </c>
      <c r="L77" s="34">
        <v>41743</v>
      </c>
      <c r="M77" t="s">
        <v>191</v>
      </c>
      <c r="N77" t="s">
        <v>211</v>
      </c>
      <c r="O77" t="s">
        <v>210</v>
      </c>
      <c r="P77" t="s">
        <v>186</v>
      </c>
      <c r="Q77" t="s">
        <v>187</v>
      </c>
      <c r="R77">
        <v>99999</v>
      </c>
      <c r="S77" t="s">
        <v>188</v>
      </c>
      <c r="T77" t="s">
        <v>206</v>
      </c>
      <c r="U77" t="s">
        <v>213</v>
      </c>
      <c r="V77" t="s">
        <v>195</v>
      </c>
      <c r="W77">
        <v>46</v>
      </c>
      <c r="X77">
        <v>96</v>
      </c>
      <c r="Y77" s="36">
        <v>4416</v>
      </c>
      <c r="Z77" s="35">
        <v>428.35200000000003</v>
      </c>
    </row>
    <row r="78" spans="1:26" x14ac:dyDescent="0.25">
      <c r="A78">
        <v>1084</v>
      </c>
      <c r="B78" s="34">
        <v>41737</v>
      </c>
      <c r="C78">
        <v>8</v>
      </c>
      <c r="D78" t="s">
        <v>214</v>
      </c>
      <c r="E78" t="s">
        <v>215</v>
      </c>
      <c r="F78" t="s">
        <v>216</v>
      </c>
      <c r="G78" t="s">
        <v>217</v>
      </c>
      <c r="H78">
        <v>99999</v>
      </c>
      <c r="I78" t="s">
        <v>188</v>
      </c>
      <c r="J78" t="s">
        <v>218</v>
      </c>
      <c r="K78" t="s">
        <v>219</v>
      </c>
      <c r="L78" s="34">
        <v>41739</v>
      </c>
      <c r="M78" t="s">
        <v>220</v>
      </c>
      <c r="N78" t="s">
        <v>221</v>
      </c>
      <c r="O78" t="s">
        <v>215</v>
      </c>
      <c r="P78" t="s">
        <v>216</v>
      </c>
      <c r="Q78" t="s">
        <v>217</v>
      </c>
      <c r="R78">
        <v>99999</v>
      </c>
      <c r="S78" t="s">
        <v>188</v>
      </c>
      <c r="T78" t="s">
        <v>206</v>
      </c>
      <c r="U78" t="s">
        <v>222</v>
      </c>
      <c r="V78" t="s">
        <v>223</v>
      </c>
      <c r="W78">
        <v>9.1999999999999993</v>
      </c>
      <c r="X78">
        <v>12</v>
      </c>
      <c r="Y78" s="36">
        <v>110.39999999999999</v>
      </c>
      <c r="Z78" s="35">
        <v>11.3712</v>
      </c>
    </row>
    <row r="79" spans="1:26" x14ac:dyDescent="0.25">
      <c r="A79">
        <v>1085</v>
      </c>
      <c r="B79" s="34">
        <v>41733</v>
      </c>
      <c r="C79">
        <v>4</v>
      </c>
      <c r="D79" t="s">
        <v>198</v>
      </c>
      <c r="E79" t="s">
        <v>199</v>
      </c>
      <c r="F79" t="s">
        <v>200</v>
      </c>
      <c r="G79" t="s">
        <v>201</v>
      </c>
      <c r="H79">
        <v>99999</v>
      </c>
      <c r="I79" t="s">
        <v>188</v>
      </c>
      <c r="J79" t="s">
        <v>202</v>
      </c>
      <c r="K79" t="s">
        <v>203</v>
      </c>
      <c r="L79">
        <v>41735</v>
      </c>
      <c r="M79" t="s">
        <v>220</v>
      </c>
      <c r="N79" t="s">
        <v>205</v>
      </c>
      <c r="O79" t="s">
        <v>199</v>
      </c>
      <c r="P79" t="s">
        <v>200</v>
      </c>
      <c r="Q79" t="s">
        <v>201</v>
      </c>
      <c r="R79">
        <v>99999</v>
      </c>
      <c r="S79" t="s">
        <v>188</v>
      </c>
      <c r="T79" t="s">
        <v>193</v>
      </c>
      <c r="U79" t="s">
        <v>222</v>
      </c>
      <c r="V79" t="s">
        <v>223</v>
      </c>
      <c r="W79">
        <v>9.1999999999999993</v>
      </c>
      <c r="X79">
        <v>62</v>
      </c>
      <c r="Y79" s="36">
        <v>570.4</v>
      </c>
      <c r="Z79" s="35">
        <v>58.751199999999997</v>
      </c>
    </row>
    <row r="80" spans="1:26" x14ac:dyDescent="0.25">
      <c r="A80">
        <v>1086</v>
      </c>
      <c r="B80" s="34">
        <v>41758</v>
      </c>
      <c r="C80">
        <v>29</v>
      </c>
      <c r="D80" t="s">
        <v>224</v>
      </c>
      <c r="E80" t="s">
        <v>225</v>
      </c>
      <c r="F80" t="s">
        <v>226</v>
      </c>
      <c r="G80" t="s">
        <v>227</v>
      </c>
      <c r="H80">
        <v>99999</v>
      </c>
      <c r="I80" t="s">
        <v>188</v>
      </c>
      <c r="J80" t="s">
        <v>228</v>
      </c>
      <c r="K80" t="s">
        <v>190</v>
      </c>
      <c r="L80">
        <v>41760</v>
      </c>
      <c r="M80" t="s">
        <v>191</v>
      </c>
      <c r="N80" t="s">
        <v>229</v>
      </c>
      <c r="O80" t="s">
        <v>225</v>
      </c>
      <c r="P80" t="s">
        <v>226</v>
      </c>
      <c r="Q80" t="s">
        <v>227</v>
      </c>
      <c r="R80">
        <v>99999</v>
      </c>
      <c r="S80" t="s">
        <v>188</v>
      </c>
      <c r="T80" t="s">
        <v>193</v>
      </c>
      <c r="U80" t="s">
        <v>230</v>
      </c>
      <c r="V80" t="s">
        <v>231</v>
      </c>
      <c r="W80">
        <v>12.75</v>
      </c>
      <c r="X80">
        <v>35</v>
      </c>
      <c r="Y80" s="36">
        <v>446.25</v>
      </c>
      <c r="Z80" s="35">
        <v>45.963750000000005</v>
      </c>
    </row>
    <row r="81" spans="1:26" x14ac:dyDescent="0.25">
      <c r="A81">
        <v>1087</v>
      </c>
      <c r="B81" s="34">
        <v>41732</v>
      </c>
      <c r="C81">
        <v>3</v>
      </c>
      <c r="D81" t="s">
        <v>232</v>
      </c>
      <c r="E81" t="s">
        <v>233</v>
      </c>
      <c r="F81" t="s">
        <v>234</v>
      </c>
      <c r="G81" t="s">
        <v>235</v>
      </c>
      <c r="H81">
        <v>99999</v>
      </c>
      <c r="I81" t="s">
        <v>188</v>
      </c>
      <c r="J81" t="s">
        <v>189</v>
      </c>
      <c r="K81" t="s">
        <v>190</v>
      </c>
      <c r="L81">
        <v>41734</v>
      </c>
      <c r="M81" t="s">
        <v>191</v>
      </c>
      <c r="N81" t="s">
        <v>236</v>
      </c>
      <c r="O81" t="s">
        <v>233</v>
      </c>
      <c r="P81" t="s">
        <v>234</v>
      </c>
      <c r="Q81" t="s">
        <v>235</v>
      </c>
      <c r="R81">
        <v>99999</v>
      </c>
      <c r="S81" t="s">
        <v>188</v>
      </c>
      <c r="T81" t="s">
        <v>237</v>
      </c>
      <c r="U81" t="s">
        <v>238</v>
      </c>
      <c r="V81" t="s">
        <v>239</v>
      </c>
      <c r="W81">
        <v>9.65</v>
      </c>
      <c r="X81">
        <v>95</v>
      </c>
      <c r="Y81" s="36">
        <v>916.75</v>
      </c>
      <c r="Z81" s="35">
        <v>91.675000000000011</v>
      </c>
    </row>
    <row r="82" spans="1:26" x14ac:dyDescent="0.25">
      <c r="A82">
        <v>1088</v>
      </c>
      <c r="B82" s="34">
        <v>41735</v>
      </c>
      <c r="C82">
        <v>6</v>
      </c>
      <c r="D82" t="s">
        <v>240</v>
      </c>
      <c r="E82" t="s">
        <v>241</v>
      </c>
      <c r="F82" t="s">
        <v>242</v>
      </c>
      <c r="G82" t="s">
        <v>243</v>
      </c>
      <c r="H82">
        <v>99999</v>
      </c>
      <c r="I82" t="s">
        <v>188</v>
      </c>
      <c r="J82" t="s">
        <v>244</v>
      </c>
      <c r="K82" t="s">
        <v>219</v>
      </c>
      <c r="L82">
        <v>41737</v>
      </c>
      <c r="M82" t="s">
        <v>191</v>
      </c>
      <c r="N82" t="s">
        <v>245</v>
      </c>
      <c r="O82" t="s">
        <v>241</v>
      </c>
      <c r="P82" t="s">
        <v>242</v>
      </c>
      <c r="Q82" t="s">
        <v>243</v>
      </c>
      <c r="R82">
        <v>99999</v>
      </c>
      <c r="S82" t="s">
        <v>188</v>
      </c>
      <c r="T82" t="s">
        <v>206</v>
      </c>
      <c r="U82" t="s">
        <v>246</v>
      </c>
      <c r="V82" t="s">
        <v>247</v>
      </c>
      <c r="W82">
        <v>40</v>
      </c>
      <c r="X82">
        <v>17</v>
      </c>
      <c r="Y82" s="36">
        <v>680</v>
      </c>
      <c r="Z82" s="35">
        <v>68.680000000000007</v>
      </c>
    </row>
    <row r="83" spans="1:26" x14ac:dyDescent="0.25">
      <c r="A83">
        <v>1089</v>
      </c>
      <c r="B83" s="34">
        <v>41757</v>
      </c>
      <c r="C83">
        <v>28</v>
      </c>
      <c r="D83" t="s">
        <v>248</v>
      </c>
      <c r="E83" t="s">
        <v>249</v>
      </c>
      <c r="F83" t="s">
        <v>250</v>
      </c>
      <c r="G83" t="s">
        <v>251</v>
      </c>
      <c r="H83">
        <v>99999</v>
      </c>
      <c r="I83" t="s">
        <v>188</v>
      </c>
      <c r="J83" t="s">
        <v>252</v>
      </c>
      <c r="K83" t="s">
        <v>253</v>
      </c>
      <c r="L83" s="34">
        <v>41759</v>
      </c>
      <c r="M83" t="s">
        <v>220</v>
      </c>
      <c r="N83" t="s">
        <v>254</v>
      </c>
      <c r="O83" t="s">
        <v>249</v>
      </c>
      <c r="P83" t="s">
        <v>250</v>
      </c>
      <c r="Q83" t="s">
        <v>251</v>
      </c>
      <c r="R83">
        <v>99999</v>
      </c>
      <c r="S83" t="s">
        <v>188</v>
      </c>
      <c r="T83" t="s">
        <v>193</v>
      </c>
      <c r="U83" t="s">
        <v>213</v>
      </c>
      <c r="V83" t="s">
        <v>195</v>
      </c>
      <c r="W83">
        <v>46</v>
      </c>
      <c r="X83">
        <v>96</v>
      </c>
      <c r="Y83" s="36">
        <v>4416</v>
      </c>
      <c r="Z83" s="35">
        <v>463.68000000000006</v>
      </c>
    </row>
    <row r="84" spans="1:26" x14ac:dyDescent="0.25">
      <c r="A84">
        <v>1090</v>
      </c>
      <c r="B84" s="34">
        <v>41737</v>
      </c>
      <c r="C84">
        <v>8</v>
      </c>
      <c r="D84" t="s">
        <v>214</v>
      </c>
      <c r="E84" t="s">
        <v>215</v>
      </c>
      <c r="F84" t="s">
        <v>216</v>
      </c>
      <c r="G84" t="s">
        <v>217</v>
      </c>
      <c r="H84">
        <v>99999</v>
      </c>
      <c r="I84" t="s">
        <v>188</v>
      </c>
      <c r="J84" t="s">
        <v>218</v>
      </c>
      <c r="K84" t="s">
        <v>219</v>
      </c>
      <c r="L84" s="34">
        <v>41739</v>
      </c>
      <c r="M84" t="s">
        <v>220</v>
      </c>
      <c r="N84" t="s">
        <v>221</v>
      </c>
      <c r="O84" t="s">
        <v>215</v>
      </c>
      <c r="P84" t="s">
        <v>216</v>
      </c>
      <c r="Q84" t="s">
        <v>217</v>
      </c>
      <c r="R84">
        <v>99999</v>
      </c>
      <c r="S84" t="s">
        <v>188</v>
      </c>
      <c r="T84" t="s">
        <v>193</v>
      </c>
      <c r="U84" t="s">
        <v>230</v>
      </c>
      <c r="V84" t="s">
        <v>231</v>
      </c>
      <c r="W84" s="35">
        <v>12.75</v>
      </c>
      <c r="X84">
        <v>83</v>
      </c>
      <c r="Y84" s="36">
        <v>1058.25</v>
      </c>
      <c r="Z84" s="35">
        <v>102.65025</v>
      </c>
    </row>
    <row r="85" spans="1:26" x14ac:dyDescent="0.25">
      <c r="A85">
        <v>1091</v>
      </c>
      <c r="B85" s="34">
        <v>41739</v>
      </c>
      <c r="C85">
        <v>10</v>
      </c>
      <c r="D85" t="s">
        <v>255</v>
      </c>
      <c r="E85" t="s">
        <v>256</v>
      </c>
      <c r="F85" t="s">
        <v>257</v>
      </c>
      <c r="G85" t="s">
        <v>258</v>
      </c>
      <c r="H85">
        <v>99999</v>
      </c>
      <c r="I85" t="s">
        <v>188</v>
      </c>
      <c r="J85" t="s">
        <v>259</v>
      </c>
      <c r="K85" t="s">
        <v>203</v>
      </c>
      <c r="L85" s="34">
        <v>41741</v>
      </c>
      <c r="M85" t="s">
        <v>191</v>
      </c>
      <c r="N85" t="s">
        <v>260</v>
      </c>
      <c r="O85" t="s">
        <v>256</v>
      </c>
      <c r="P85" t="s">
        <v>257</v>
      </c>
      <c r="Q85" t="s">
        <v>258</v>
      </c>
      <c r="R85">
        <v>99999</v>
      </c>
      <c r="S85" t="s">
        <v>188</v>
      </c>
      <c r="T85" t="s">
        <v>206</v>
      </c>
      <c r="U85" t="s">
        <v>261</v>
      </c>
      <c r="V85" t="s">
        <v>195</v>
      </c>
      <c r="W85" s="35">
        <v>2.99</v>
      </c>
      <c r="X85">
        <v>88</v>
      </c>
      <c r="Y85" s="36">
        <v>263.12</v>
      </c>
      <c r="Z85" s="35">
        <v>26.04888</v>
      </c>
    </row>
    <row r="86" spans="1:26" x14ac:dyDescent="0.25">
      <c r="A86">
        <v>1092</v>
      </c>
      <c r="B86" s="34">
        <v>41736</v>
      </c>
      <c r="C86">
        <v>7</v>
      </c>
      <c r="D86" t="s">
        <v>262</v>
      </c>
      <c r="E86" t="s">
        <v>263</v>
      </c>
      <c r="F86" t="s">
        <v>264</v>
      </c>
      <c r="G86" t="s">
        <v>265</v>
      </c>
      <c r="H86">
        <v>99999</v>
      </c>
      <c r="I86" t="s">
        <v>188</v>
      </c>
      <c r="J86" t="s">
        <v>218</v>
      </c>
      <c r="K86" t="s">
        <v>219</v>
      </c>
      <c r="L86" s="34"/>
      <c r="N86" t="s">
        <v>266</v>
      </c>
      <c r="O86" t="s">
        <v>263</v>
      </c>
      <c r="P86" t="s">
        <v>264</v>
      </c>
      <c r="Q86" t="s">
        <v>265</v>
      </c>
      <c r="R86">
        <v>99999</v>
      </c>
      <c r="S86" t="s">
        <v>188</v>
      </c>
      <c r="U86" t="s">
        <v>213</v>
      </c>
      <c r="V86" t="s">
        <v>195</v>
      </c>
      <c r="W86" s="35">
        <v>46</v>
      </c>
      <c r="X86">
        <v>59</v>
      </c>
      <c r="Y86" s="36">
        <v>2714</v>
      </c>
      <c r="Z86" s="35">
        <v>284.97000000000003</v>
      </c>
    </row>
    <row r="87" spans="1:26" x14ac:dyDescent="0.25">
      <c r="A87">
        <v>1093</v>
      </c>
      <c r="B87" s="34">
        <v>41739</v>
      </c>
      <c r="C87">
        <v>10</v>
      </c>
      <c r="D87" t="s">
        <v>255</v>
      </c>
      <c r="E87" t="s">
        <v>256</v>
      </c>
      <c r="F87" t="s">
        <v>257</v>
      </c>
      <c r="G87" t="s">
        <v>258</v>
      </c>
      <c r="H87">
        <v>99999</v>
      </c>
      <c r="I87" t="s">
        <v>188</v>
      </c>
      <c r="J87" t="s">
        <v>259</v>
      </c>
      <c r="K87" t="s">
        <v>203</v>
      </c>
      <c r="L87" s="34">
        <v>41741</v>
      </c>
      <c r="M87" t="s">
        <v>204</v>
      </c>
      <c r="N87" t="s">
        <v>260</v>
      </c>
      <c r="O87" t="s">
        <v>256</v>
      </c>
      <c r="P87" t="s">
        <v>257</v>
      </c>
      <c r="Q87" t="s">
        <v>258</v>
      </c>
      <c r="R87">
        <v>99999</v>
      </c>
      <c r="S87" t="s">
        <v>188</v>
      </c>
      <c r="U87" t="s">
        <v>267</v>
      </c>
      <c r="V87" t="s">
        <v>268</v>
      </c>
      <c r="W87" s="35">
        <v>25</v>
      </c>
      <c r="X87">
        <v>27</v>
      </c>
      <c r="Y87" s="36">
        <v>675</v>
      </c>
      <c r="Z87" s="35">
        <v>68.849999999999994</v>
      </c>
    </row>
    <row r="88" spans="1:26" x14ac:dyDescent="0.25">
      <c r="A88">
        <v>1094</v>
      </c>
      <c r="B88" s="34">
        <v>41739</v>
      </c>
      <c r="C88">
        <v>10</v>
      </c>
      <c r="D88" t="s">
        <v>255</v>
      </c>
      <c r="E88" t="s">
        <v>256</v>
      </c>
      <c r="F88" t="s">
        <v>257</v>
      </c>
      <c r="G88" t="s">
        <v>258</v>
      </c>
      <c r="H88">
        <v>99999</v>
      </c>
      <c r="I88" t="s">
        <v>188</v>
      </c>
      <c r="J88" t="s">
        <v>259</v>
      </c>
      <c r="K88" t="s">
        <v>203</v>
      </c>
      <c r="L88" s="34">
        <v>41741</v>
      </c>
      <c r="M88" t="s">
        <v>204</v>
      </c>
      <c r="N88" t="s">
        <v>260</v>
      </c>
      <c r="O88" t="s">
        <v>256</v>
      </c>
      <c r="P88" t="s">
        <v>257</v>
      </c>
      <c r="Q88" t="s">
        <v>258</v>
      </c>
      <c r="R88">
        <v>99999</v>
      </c>
      <c r="S88" t="s">
        <v>188</v>
      </c>
      <c r="U88" t="s">
        <v>269</v>
      </c>
      <c r="V88" t="s">
        <v>270</v>
      </c>
      <c r="W88" s="35">
        <v>22</v>
      </c>
      <c r="X88">
        <v>37</v>
      </c>
      <c r="Y88" s="36">
        <v>814</v>
      </c>
      <c r="Z88" s="35">
        <v>85.470000000000013</v>
      </c>
    </row>
    <row r="89" spans="1:26" x14ac:dyDescent="0.25">
      <c r="A89">
        <v>1095</v>
      </c>
      <c r="B89" s="34">
        <v>41739</v>
      </c>
      <c r="C89">
        <v>10</v>
      </c>
      <c r="D89" t="s">
        <v>255</v>
      </c>
      <c r="E89" t="s">
        <v>256</v>
      </c>
      <c r="F89" t="s">
        <v>257</v>
      </c>
      <c r="G89" t="s">
        <v>258</v>
      </c>
      <c r="H89">
        <v>99999</v>
      </c>
      <c r="I89" t="s">
        <v>188</v>
      </c>
      <c r="J89" t="s">
        <v>259</v>
      </c>
      <c r="K89" t="s">
        <v>203</v>
      </c>
      <c r="L89" s="34">
        <v>41741</v>
      </c>
      <c r="M89" t="s">
        <v>204</v>
      </c>
      <c r="N89" t="s">
        <v>260</v>
      </c>
      <c r="O89" t="s">
        <v>256</v>
      </c>
      <c r="P89" t="s">
        <v>257</v>
      </c>
      <c r="Q89" t="s">
        <v>258</v>
      </c>
      <c r="R89">
        <v>99999</v>
      </c>
      <c r="S89" t="s">
        <v>188</v>
      </c>
      <c r="U89" t="s">
        <v>222</v>
      </c>
      <c r="V89" t="s">
        <v>223</v>
      </c>
      <c r="W89" s="35">
        <v>9.1999999999999993</v>
      </c>
      <c r="X89">
        <v>75</v>
      </c>
      <c r="Y89" s="36">
        <v>690</v>
      </c>
      <c r="Z89" s="35">
        <v>69</v>
      </c>
    </row>
    <row r="90" spans="1:26" x14ac:dyDescent="0.25">
      <c r="A90">
        <v>1096</v>
      </c>
      <c r="B90" s="34">
        <v>41740</v>
      </c>
      <c r="C90">
        <v>11</v>
      </c>
      <c r="D90" t="s">
        <v>271</v>
      </c>
      <c r="E90" t="s">
        <v>272</v>
      </c>
      <c r="F90" t="s">
        <v>273</v>
      </c>
      <c r="G90" t="s">
        <v>274</v>
      </c>
      <c r="H90">
        <v>99999</v>
      </c>
      <c r="I90" t="s">
        <v>188</v>
      </c>
      <c r="J90" t="s">
        <v>252</v>
      </c>
      <c r="K90" t="s">
        <v>253</v>
      </c>
      <c r="L90" s="34"/>
      <c r="M90" t="s">
        <v>220</v>
      </c>
      <c r="N90" t="s">
        <v>275</v>
      </c>
      <c r="O90" t="s">
        <v>272</v>
      </c>
      <c r="P90" t="s">
        <v>273</v>
      </c>
      <c r="Q90" t="s">
        <v>274</v>
      </c>
      <c r="R90">
        <v>99999</v>
      </c>
      <c r="S90" t="s">
        <v>188</v>
      </c>
      <c r="U90" t="s">
        <v>196</v>
      </c>
      <c r="V90" t="s">
        <v>197</v>
      </c>
      <c r="W90" s="35">
        <v>3.5</v>
      </c>
      <c r="X90">
        <v>71</v>
      </c>
      <c r="Y90" s="36">
        <v>248.5</v>
      </c>
      <c r="Z90" s="35">
        <v>24.104500000000002</v>
      </c>
    </row>
    <row r="91" spans="1:26" x14ac:dyDescent="0.25">
      <c r="A91">
        <v>1097</v>
      </c>
      <c r="B91" s="34">
        <v>41740</v>
      </c>
      <c r="C91">
        <v>11</v>
      </c>
      <c r="D91" t="s">
        <v>271</v>
      </c>
      <c r="E91" t="s">
        <v>272</v>
      </c>
      <c r="F91" t="s">
        <v>273</v>
      </c>
      <c r="G91" t="s">
        <v>274</v>
      </c>
      <c r="H91">
        <v>99999</v>
      </c>
      <c r="I91" t="s">
        <v>188</v>
      </c>
      <c r="J91" t="s">
        <v>252</v>
      </c>
      <c r="K91" t="s">
        <v>253</v>
      </c>
      <c r="L91" s="34"/>
      <c r="M91" t="s">
        <v>220</v>
      </c>
      <c r="N91" t="s">
        <v>275</v>
      </c>
      <c r="O91" t="s">
        <v>272</v>
      </c>
      <c r="P91" t="s">
        <v>273</v>
      </c>
      <c r="Q91" t="s">
        <v>274</v>
      </c>
      <c r="R91">
        <v>99999</v>
      </c>
      <c r="S91" t="s">
        <v>188</v>
      </c>
      <c r="U91" t="s">
        <v>261</v>
      </c>
      <c r="V91" t="s">
        <v>195</v>
      </c>
      <c r="W91" s="35">
        <v>2.99</v>
      </c>
      <c r="X91">
        <v>88</v>
      </c>
      <c r="Y91" s="36">
        <v>263.12</v>
      </c>
      <c r="Z91" s="35">
        <v>26.04888</v>
      </c>
    </row>
    <row r="92" spans="1:26" x14ac:dyDescent="0.25">
      <c r="A92">
        <v>1098</v>
      </c>
      <c r="B92" s="34">
        <v>41730</v>
      </c>
      <c r="C92">
        <v>1</v>
      </c>
      <c r="D92" t="s">
        <v>276</v>
      </c>
      <c r="E92" t="s">
        <v>277</v>
      </c>
      <c r="F92" t="s">
        <v>278</v>
      </c>
      <c r="G92" t="s">
        <v>279</v>
      </c>
      <c r="H92">
        <v>99999</v>
      </c>
      <c r="I92" t="s">
        <v>188</v>
      </c>
      <c r="J92" t="s">
        <v>218</v>
      </c>
      <c r="K92" t="s">
        <v>219</v>
      </c>
      <c r="L92" s="34"/>
      <c r="N92" t="s">
        <v>280</v>
      </c>
      <c r="O92" t="s">
        <v>277</v>
      </c>
      <c r="P92" t="s">
        <v>278</v>
      </c>
      <c r="Q92" t="s">
        <v>279</v>
      </c>
      <c r="R92">
        <v>99999</v>
      </c>
      <c r="S92" t="s">
        <v>188</v>
      </c>
      <c r="U92" t="s">
        <v>212</v>
      </c>
      <c r="V92" t="s">
        <v>195</v>
      </c>
      <c r="W92" s="35">
        <v>18</v>
      </c>
      <c r="X92">
        <v>55</v>
      </c>
      <c r="Y92" s="36">
        <v>990</v>
      </c>
      <c r="Z92" s="35">
        <v>97.02</v>
      </c>
    </row>
    <row r="93" spans="1:26" x14ac:dyDescent="0.25">
      <c r="A93">
        <v>1099</v>
      </c>
      <c r="B93" s="34">
        <v>41788</v>
      </c>
      <c r="C93">
        <v>29</v>
      </c>
      <c r="D93" t="s">
        <v>224</v>
      </c>
      <c r="E93" t="s">
        <v>225</v>
      </c>
      <c r="F93" t="s">
        <v>226</v>
      </c>
      <c r="G93" t="s">
        <v>227</v>
      </c>
      <c r="H93">
        <v>99999</v>
      </c>
      <c r="I93" t="s">
        <v>188</v>
      </c>
      <c r="J93" t="s">
        <v>228</v>
      </c>
      <c r="K93" t="s">
        <v>190</v>
      </c>
      <c r="L93" s="34">
        <v>41790</v>
      </c>
      <c r="M93" t="s">
        <v>191</v>
      </c>
      <c r="N93" t="s">
        <v>229</v>
      </c>
      <c r="O93" t="s">
        <v>225</v>
      </c>
      <c r="P93" t="s">
        <v>226</v>
      </c>
      <c r="Q93" t="s">
        <v>227</v>
      </c>
      <c r="R93">
        <v>99999</v>
      </c>
      <c r="S93" t="s">
        <v>188</v>
      </c>
      <c r="T93" t="s">
        <v>193</v>
      </c>
      <c r="U93" t="s">
        <v>230</v>
      </c>
      <c r="V93" t="s">
        <v>231</v>
      </c>
      <c r="W93" s="35">
        <v>12.75</v>
      </c>
      <c r="X93">
        <v>14</v>
      </c>
      <c r="Y93" s="36">
        <v>178.5</v>
      </c>
      <c r="Z93" s="35">
        <v>16.9575</v>
      </c>
    </row>
    <row r="94" spans="1:26" x14ac:dyDescent="0.25">
      <c r="A94">
        <v>1100</v>
      </c>
      <c r="B94" s="34">
        <v>41762</v>
      </c>
      <c r="C94">
        <v>3</v>
      </c>
      <c r="D94" t="s">
        <v>232</v>
      </c>
      <c r="E94" t="s">
        <v>233</v>
      </c>
      <c r="F94" t="s">
        <v>234</v>
      </c>
      <c r="G94" t="s">
        <v>235</v>
      </c>
      <c r="H94">
        <v>99999</v>
      </c>
      <c r="I94" t="s">
        <v>188</v>
      </c>
      <c r="J94" t="s">
        <v>189</v>
      </c>
      <c r="K94" t="s">
        <v>190</v>
      </c>
      <c r="L94" s="34">
        <v>41764</v>
      </c>
      <c r="M94" t="s">
        <v>191</v>
      </c>
      <c r="N94" t="s">
        <v>236</v>
      </c>
      <c r="O94" t="s">
        <v>233</v>
      </c>
      <c r="P94" t="s">
        <v>234</v>
      </c>
      <c r="Q94" t="s">
        <v>235</v>
      </c>
      <c r="R94">
        <v>99999</v>
      </c>
      <c r="S94" t="s">
        <v>188</v>
      </c>
      <c r="T94" t="s">
        <v>237</v>
      </c>
      <c r="U94" t="s">
        <v>238</v>
      </c>
      <c r="V94" t="s">
        <v>239</v>
      </c>
      <c r="W94" s="35">
        <v>9.65</v>
      </c>
      <c r="X94">
        <v>43</v>
      </c>
      <c r="Y94" s="36">
        <v>414.95</v>
      </c>
      <c r="Z94" s="35">
        <v>42.324900000000007</v>
      </c>
    </row>
    <row r="95" spans="1:26" x14ac:dyDescent="0.25">
      <c r="A95">
        <v>1101</v>
      </c>
      <c r="B95" s="34">
        <v>41765</v>
      </c>
      <c r="C95">
        <v>6</v>
      </c>
      <c r="D95" t="s">
        <v>240</v>
      </c>
      <c r="E95" t="s">
        <v>241</v>
      </c>
      <c r="F95" t="s">
        <v>242</v>
      </c>
      <c r="G95" t="s">
        <v>243</v>
      </c>
      <c r="H95">
        <v>99999</v>
      </c>
      <c r="I95" t="s">
        <v>188</v>
      </c>
      <c r="J95" t="s">
        <v>244</v>
      </c>
      <c r="K95" t="s">
        <v>219</v>
      </c>
      <c r="L95">
        <v>41767</v>
      </c>
      <c r="M95" t="s">
        <v>191</v>
      </c>
      <c r="N95" t="s">
        <v>245</v>
      </c>
      <c r="O95" t="s">
        <v>241</v>
      </c>
      <c r="P95" t="s">
        <v>242</v>
      </c>
      <c r="Q95" t="s">
        <v>243</v>
      </c>
      <c r="R95">
        <v>99999</v>
      </c>
      <c r="S95" t="s">
        <v>188</v>
      </c>
      <c r="T95" t="s">
        <v>206</v>
      </c>
      <c r="U95" t="s">
        <v>246</v>
      </c>
      <c r="V95" t="s">
        <v>247</v>
      </c>
      <c r="W95" s="35">
        <v>40</v>
      </c>
      <c r="X95">
        <v>63</v>
      </c>
      <c r="Y95" s="36">
        <v>2520</v>
      </c>
      <c r="Z95" s="35">
        <v>254.52</v>
      </c>
    </row>
    <row r="96" spans="1:26" x14ac:dyDescent="0.25">
      <c r="A96">
        <v>1102</v>
      </c>
      <c r="B96" s="34">
        <v>41787</v>
      </c>
      <c r="C96">
        <v>28</v>
      </c>
      <c r="D96" t="s">
        <v>248</v>
      </c>
      <c r="E96" t="s">
        <v>249</v>
      </c>
      <c r="F96" t="s">
        <v>250</v>
      </c>
      <c r="G96" t="s">
        <v>251</v>
      </c>
      <c r="H96">
        <v>99999</v>
      </c>
      <c r="I96" t="s">
        <v>188</v>
      </c>
      <c r="J96" t="s">
        <v>252</v>
      </c>
      <c r="K96" t="s">
        <v>253</v>
      </c>
      <c r="L96" s="34">
        <v>41789</v>
      </c>
      <c r="M96" t="s">
        <v>220</v>
      </c>
      <c r="N96" t="s">
        <v>254</v>
      </c>
      <c r="O96" t="s">
        <v>249</v>
      </c>
      <c r="P96" t="s">
        <v>250</v>
      </c>
      <c r="Q96" t="s">
        <v>251</v>
      </c>
      <c r="R96">
        <v>99999</v>
      </c>
      <c r="S96" t="s">
        <v>188</v>
      </c>
      <c r="T96" t="s">
        <v>193</v>
      </c>
      <c r="U96" t="s">
        <v>213</v>
      </c>
      <c r="V96" t="s">
        <v>195</v>
      </c>
      <c r="W96" s="35">
        <v>46</v>
      </c>
      <c r="X96">
        <v>36</v>
      </c>
      <c r="Y96" s="36">
        <v>1656</v>
      </c>
      <c r="Z96" s="35">
        <v>165.60000000000002</v>
      </c>
    </row>
    <row r="97" spans="1:26" x14ac:dyDescent="0.25">
      <c r="A97">
        <v>1103</v>
      </c>
      <c r="B97" s="34">
        <v>41767</v>
      </c>
      <c r="C97">
        <v>8</v>
      </c>
      <c r="D97" t="s">
        <v>214</v>
      </c>
      <c r="E97" t="s">
        <v>215</v>
      </c>
      <c r="F97" t="s">
        <v>216</v>
      </c>
      <c r="G97" t="s">
        <v>217</v>
      </c>
      <c r="H97">
        <v>99999</v>
      </c>
      <c r="I97" t="s">
        <v>188</v>
      </c>
      <c r="J97" t="s">
        <v>218</v>
      </c>
      <c r="K97" t="s">
        <v>219</v>
      </c>
      <c r="L97" s="34">
        <v>41769</v>
      </c>
      <c r="M97" t="s">
        <v>220</v>
      </c>
      <c r="N97" t="s">
        <v>221</v>
      </c>
      <c r="O97" t="s">
        <v>215</v>
      </c>
      <c r="P97" t="s">
        <v>216</v>
      </c>
      <c r="Q97" t="s">
        <v>217</v>
      </c>
      <c r="R97">
        <v>99999</v>
      </c>
      <c r="S97" t="s">
        <v>188</v>
      </c>
      <c r="T97" t="s">
        <v>193</v>
      </c>
      <c r="U97" t="s">
        <v>230</v>
      </c>
      <c r="V97" t="s">
        <v>231</v>
      </c>
      <c r="W97" s="35">
        <v>12.75</v>
      </c>
      <c r="X97">
        <v>41</v>
      </c>
      <c r="Y97" s="36">
        <v>522.75</v>
      </c>
      <c r="Z97" s="35">
        <v>54.366000000000007</v>
      </c>
    </row>
    <row r="98" spans="1:26" x14ac:dyDescent="0.25">
      <c r="A98">
        <v>1104</v>
      </c>
      <c r="B98" s="34">
        <v>41769</v>
      </c>
      <c r="C98">
        <v>10</v>
      </c>
      <c r="D98" t="s">
        <v>255</v>
      </c>
      <c r="E98" t="s">
        <v>256</v>
      </c>
      <c r="F98" t="s">
        <v>257</v>
      </c>
      <c r="G98" t="s">
        <v>258</v>
      </c>
      <c r="H98">
        <v>99999</v>
      </c>
      <c r="I98" t="s">
        <v>188</v>
      </c>
      <c r="J98" t="s">
        <v>259</v>
      </c>
      <c r="K98" t="s">
        <v>203</v>
      </c>
      <c r="L98" s="34">
        <v>41771</v>
      </c>
      <c r="M98" t="s">
        <v>191</v>
      </c>
      <c r="N98" t="s">
        <v>260</v>
      </c>
      <c r="O98" t="s">
        <v>256</v>
      </c>
      <c r="P98" t="s">
        <v>257</v>
      </c>
      <c r="Q98" t="s">
        <v>258</v>
      </c>
      <c r="R98">
        <v>99999</v>
      </c>
      <c r="S98" t="s">
        <v>188</v>
      </c>
      <c r="T98" t="s">
        <v>206</v>
      </c>
      <c r="U98" t="s">
        <v>261</v>
      </c>
      <c r="V98" t="s">
        <v>195</v>
      </c>
      <c r="W98" s="35">
        <v>2.99</v>
      </c>
      <c r="X98">
        <v>35</v>
      </c>
      <c r="Y98" s="36">
        <v>104.65</v>
      </c>
      <c r="Z98" s="35">
        <v>10.255700000000001</v>
      </c>
    </row>
    <row r="99" spans="1:26" x14ac:dyDescent="0.25">
      <c r="A99">
        <v>1105</v>
      </c>
      <c r="B99" s="34">
        <v>41766</v>
      </c>
      <c r="C99">
        <v>7</v>
      </c>
      <c r="D99" t="s">
        <v>262</v>
      </c>
      <c r="E99" t="s">
        <v>263</v>
      </c>
      <c r="F99" t="s">
        <v>264</v>
      </c>
      <c r="G99" t="s">
        <v>265</v>
      </c>
      <c r="H99">
        <v>99999</v>
      </c>
      <c r="I99" t="s">
        <v>188</v>
      </c>
      <c r="J99" t="s">
        <v>218</v>
      </c>
      <c r="K99" t="s">
        <v>219</v>
      </c>
      <c r="N99" t="s">
        <v>266</v>
      </c>
      <c r="O99" t="s">
        <v>263</v>
      </c>
      <c r="P99" t="s">
        <v>264</v>
      </c>
      <c r="Q99" t="s">
        <v>265</v>
      </c>
      <c r="R99">
        <v>99999</v>
      </c>
      <c r="S99" t="s">
        <v>188</v>
      </c>
      <c r="U99" t="s">
        <v>213</v>
      </c>
      <c r="V99" t="s">
        <v>195</v>
      </c>
      <c r="W99" s="35">
        <v>46</v>
      </c>
      <c r="X99">
        <v>31</v>
      </c>
      <c r="Y99" s="36">
        <v>1426</v>
      </c>
      <c r="Z99" s="35">
        <v>136.89599999999999</v>
      </c>
    </row>
    <row r="100" spans="1:26" x14ac:dyDescent="0.25">
      <c r="A100">
        <v>1106</v>
      </c>
      <c r="B100" s="34">
        <v>41769</v>
      </c>
      <c r="C100">
        <v>10</v>
      </c>
      <c r="D100" t="s">
        <v>255</v>
      </c>
      <c r="E100" t="s">
        <v>256</v>
      </c>
      <c r="F100" t="s">
        <v>257</v>
      </c>
      <c r="G100" t="s">
        <v>258</v>
      </c>
      <c r="H100">
        <v>99999</v>
      </c>
      <c r="I100" t="s">
        <v>188</v>
      </c>
      <c r="J100" t="s">
        <v>259</v>
      </c>
      <c r="K100" t="s">
        <v>203</v>
      </c>
      <c r="L100">
        <v>41771</v>
      </c>
      <c r="M100" t="s">
        <v>204</v>
      </c>
      <c r="N100" t="s">
        <v>260</v>
      </c>
      <c r="O100" t="s">
        <v>256</v>
      </c>
      <c r="P100" t="s">
        <v>257</v>
      </c>
      <c r="Q100" t="s">
        <v>258</v>
      </c>
      <c r="R100">
        <v>99999</v>
      </c>
      <c r="S100" t="s">
        <v>188</v>
      </c>
      <c r="U100" t="s">
        <v>267</v>
      </c>
      <c r="V100" t="s">
        <v>268</v>
      </c>
      <c r="W100" s="35">
        <v>25</v>
      </c>
      <c r="X100">
        <v>52</v>
      </c>
      <c r="Y100" s="36">
        <v>1300</v>
      </c>
      <c r="Z100" s="35">
        <v>123.5</v>
      </c>
    </row>
    <row r="101" spans="1:26" x14ac:dyDescent="0.25">
      <c r="A101">
        <v>1107</v>
      </c>
      <c r="B101" s="34">
        <v>41769</v>
      </c>
      <c r="C101">
        <v>10</v>
      </c>
      <c r="D101" t="s">
        <v>255</v>
      </c>
      <c r="E101" t="s">
        <v>256</v>
      </c>
      <c r="F101" t="s">
        <v>257</v>
      </c>
      <c r="G101" t="s">
        <v>258</v>
      </c>
      <c r="H101">
        <v>99999</v>
      </c>
      <c r="I101" t="s">
        <v>188</v>
      </c>
      <c r="J101" t="s">
        <v>259</v>
      </c>
      <c r="K101" t="s">
        <v>203</v>
      </c>
      <c r="L101">
        <v>41771</v>
      </c>
      <c r="M101" t="s">
        <v>204</v>
      </c>
      <c r="N101" t="s">
        <v>260</v>
      </c>
      <c r="O101" t="s">
        <v>256</v>
      </c>
      <c r="P101" t="s">
        <v>257</v>
      </c>
      <c r="Q101" t="s">
        <v>258</v>
      </c>
      <c r="R101">
        <v>99999</v>
      </c>
      <c r="S101" t="s">
        <v>188</v>
      </c>
      <c r="U101" t="s">
        <v>269</v>
      </c>
      <c r="V101" t="s">
        <v>270</v>
      </c>
      <c r="W101" s="35">
        <v>22</v>
      </c>
      <c r="X101">
        <v>30</v>
      </c>
      <c r="Y101" s="36">
        <v>660</v>
      </c>
      <c r="Z101" s="35">
        <v>67.320000000000007</v>
      </c>
    </row>
    <row r="102" spans="1:26" x14ac:dyDescent="0.25">
      <c r="A102">
        <v>1108</v>
      </c>
      <c r="B102" s="34">
        <v>41769</v>
      </c>
      <c r="C102">
        <v>10</v>
      </c>
      <c r="D102" t="s">
        <v>255</v>
      </c>
      <c r="E102" t="s">
        <v>256</v>
      </c>
      <c r="F102" t="s">
        <v>257</v>
      </c>
      <c r="G102" t="s">
        <v>258</v>
      </c>
      <c r="H102">
        <v>99999</v>
      </c>
      <c r="I102" t="s">
        <v>188</v>
      </c>
      <c r="J102" t="s">
        <v>259</v>
      </c>
      <c r="K102" t="s">
        <v>203</v>
      </c>
      <c r="L102" s="34">
        <v>41771</v>
      </c>
      <c r="M102" t="s">
        <v>204</v>
      </c>
      <c r="N102" t="s">
        <v>260</v>
      </c>
      <c r="O102" t="s">
        <v>256</v>
      </c>
      <c r="P102" t="s">
        <v>257</v>
      </c>
      <c r="Q102" t="s">
        <v>258</v>
      </c>
      <c r="R102">
        <v>99999</v>
      </c>
      <c r="S102" t="s">
        <v>188</v>
      </c>
      <c r="U102" t="s">
        <v>222</v>
      </c>
      <c r="V102" t="s">
        <v>223</v>
      </c>
      <c r="W102" s="35">
        <v>9.1999999999999993</v>
      </c>
      <c r="X102">
        <v>41</v>
      </c>
      <c r="Y102" s="36">
        <v>377.2</v>
      </c>
      <c r="Z102" s="35">
        <v>38.474400000000003</v>
      </c>
    </row>
    <row r="103" spans="1:26" x14ac:dyDescent="0.25">
      <c r="A103">
        <v>1109</v>
      </c>
      <c r="B103" s="34">
        <v>41770</v>
      </c>
      <c r="C103">
        <v>11</v>
      </c>
      <c r="D103" t="s">
        <v>271</v>
      </c>
      <c r="E103" t="s">
        <v>272</v>
      </c>
      <c r="F103" t="s">
        <v>273</v>
      </c>
      <c r="G103" t="s">
        <v>274</v>
      </c>
      <c r="H103">
        <v>99999</v>
      </c>
      <c r="I103" t="s">
        <v>188</v>
      </c>
      <c r="J103" t="s">
        <v>252</v>
      </c>
      <c r="K103" t="s">
        <v>253</v>
      </c>
      <c r="L103" s="34"/>
      <c r="M103" t="s">
        <v>220</v>
      </c>
      <c r="N103" t="s">
        <v>275</v>
      </c>
      <c r="O103" t="s">
        <v>272</v>
      </c>
      <c r="P103" t="s">
        <v>273</v>
      </c>
      <c r="Q103" t="s">
        <v>274</v>
      </c>
      <c r="R103">
        <v>99999</v>
      </c>
      <c r="S103" t="s">
        <v>188</v>
      </c>
      <c r="U103" t="s">
        <v>196</v>
      </c>
      <c r="V103" t="s">
        <v>197</v>
      </c>
      <c r="W103" s="35">
        <v>3.5</v>
      </c>
      <c r="X103">
        <v>44</v>
      </c>
      <c r="Y103" s="36">
        <v>154</v>
      </c>
      <c r="Z103" s="35">
        <v>15.246</v>
      </c>
    </row>
    <row r="104" spans="1:26" x14ac:dyDescent="0.25">
      <c r="A104">
        <v>1110</v>
      </c>
      <c r="B104" s="34">
        <v>41770</v>
      </c>
      <c r="C104">
        <v>11</v>
      </c>
      <c r="D104" t="s">
        <v>271</v>
      </c>
      <c r="E104" t="s">
        <v>272</v>
      </c>
      <c r="F104" t="s">
        <v>273</v>
      </c>
      <c r="G104" t="s">
        <v>274</v>
      </c>
      <c r="H104">
        <v>99999</v>
      </c>
      <c r="I104" t="s">
        <v>188</v>
      </c>
      <c r="J104" t="s">
        <v>252</v>
      </c>
      <c r="K104" t="s">
        <v>253</v>
      </c>
      <c r="L104" s="34"/>
      <c r="M104" t="s">
        <v>220</v>
      </c>
      <c r="N104" t="s">
        <v>275</v>
      </c>
      <c r="O104" t="s">
        <v>272</v>
      </c>
      <c r="P104" t="s">
        <v>273</v>
      </c>
      <c r="Q104" t="s">
        <v>274</v>
      </c>
      <c r="R104">
        <v>99999</v>
      </c>
      <c r="S104" t="s">
        <v>188</v>
      </c>
      <c r="U104" t="s">
        <v>261</v>
      </c>
      <c r="V104" t="s">
        <v>195</v>
      </c>
      <c r="W104" s="35">
        <v>2.99</v>
      </c>
      <c r="X104">
        <v>77</v>
      </c>
      <c r="Y104" s="36">
        <v>230.23000000000002</v>
      </c>
      <c r="Z104" s="35">
        <v>23.023000000000003</v>
      </c>
    </row>
    <row r="105" spans="1:26" x14ac:dyDescent="0.25">
      <c r="A105">
        <v>1111</v>
      </c>
      <c r="B105" s="34">
        <v>41760</v>
      </c>
      <c r="C105">
        <v>1</v>
      </c>
      <c r="D105" t="s">
        <v>276</v>
      </c>
      <c r="E105" t="s">
        <v>277</v>
      </c>
      <c r="F105" t="s">
        <v>278</v>
      </c>
      <c r="G105" t="s">
        <v>279</v>
      </c>
      <c r="H105">
        <v>99999</v>
      </c>
      <c r="I105" t="s">
        <v>188</v>
      </c>
      <c r="J105" t="s">
        <v>218</v>
      </c>
      <c r="K105" t="s">
        <v>219</v>
      </c>
      <c r="L105" s="34"/>
      <c r="N105" t="s">
        <v>280</v>
      </c>
      <c r="O105" t="s">
        <v>277</v>
      </c>
      <c r="P105" t="s">
        <v>278</v>
      </c>
      <c r="Q105" t="s">
        <v>279</v>
      </c>
      <c r="R105">
        <v>99999</v>
      </c>
      <c r="S105" t="s">
        <v>188</v>
      </c>
      <c r="U105" t="s">
        <v>212</v>
      </c>
      <c r="V105" t="s">
        <v>195</v>
      </c>
      <c r="W105" s="35">
        <v>18</v>
      </c>
      <c r="X105">
        <v>29</v>
      </c>
      <c r="Y105" s="36">
        <v>522</v>
      </c>
      <c r="Z105" s="35">
        <v>52.722000000000001</v>
      </c>
    </row>
    <row r="106" spans="1:26" x14ac:dyDescent="0.25">
      <c r="A106">
        <v>1112</v>
      </c>
      <c r="B106" s="34">
        <v>41760</v>
      </c>
      <c r="C106">
        <v>1</v>
      </c>
      <c r="D106" t="s">
        <v>276</v>
      </c>
      <c r="E106" t="s">
        <v>277</v>
      </c>
      <c r="F106" t="s">
        <v>278</v>
      </c>
      <c r="G106" t="s">
        <v>279</v>
      </c>
      <c r="H106">
        <v>99999</v>
      </c>
      <c r="I106" t="s">
        <v>188</v>
      </c>
      <c r="J106" t="s">
        <v>218</v>
      </c>
      <c r="K106" t="s">
        <v>219</v>
      </c>
      <c r="L106" s="34"/>
      <c r="N106" t="s">
        <v>280</v>
      </c>
      <c r="O106" t="s">
        <v>277</v>
      </c>
      <c r="P106" t="s">
        <v>278</v>
      </c>
      <c r="Q106" t="s">
        <v>279</v>
      </c>
      <c r="R106">
        <v>99999</v>
      </c>
      <c r="S106" t="s">
        <v>188</v>
      </c>
      <c r="U106" t="s">
        <v>213</v>
      </c>
      <c r="V106" t="s">
        <v>195</v>
      </c>
      <c r="W106" s="35">
        <v>46</v>
      </c>
      <c r="X106">
        <v>77</v>
      </c>
      <c r="Y106" s="36">
        <v>3542</v>
      </c>
      <c r="Z106" s="35">
        <v>368.36800000000005</v>
      </c>
    </row>
    <row r="107" spans="1:26" x14ac:dyDescent="0.25">
      <c r="A107">
        <v>1113</v>
      </c>
      <c r="B107" s="34">
        <v>41760</v>
      </c>
      <c r="C107">
        <v>1</v>
      </c>
      <c r="D107" t="s">
        <v>276</v>
      </c>
      <c r="E107" t="s">
        <v>277</v>
      </c>
      <c r="F107" t="s">
        <v>278</v>
      </c>
      <c r="G107" t="s">
        <v>279</v>
      </c>
      <c r="H107">
        <v>99999</v>
      </c>
      <c r="I107" t="s">
        <v>188</v>
      </c>
      <c r="J107" t="s">
        <v>218</v>
      </c>
      <c r="K107" t="s">
        <v>219</v>
      </c>
      <c r="L107" s="34"/>
      <c r="N107" t="s">
        <v>280</v>
      </c>
      <c r="O107" t="s">
        <v>277</v>
      </c>
      <c r="P107" t="s">
        <v>278</v>
      </c>
      <c r="Q107" t="s">
        <v>279</v>
      </c>
      <c r="R107">
        <v>99999</v>
      </c>
      <c r="S107" t="s">
        <v>188</v>
      </c>
      <c r="U107" t="s">
        <v>261</v>
      </c>
      <c r="V107" t="s">
        <v>195</v>
      </c>
      <c r="W107" s="35">
        <v>2.99</v>
      </c>
      <c r="X107">
        <v>73</v>
      </c>
      <c r="Y107" s="36">
        <v>218.27</v>
      </c>
      <c r="Z107" s="35">
        <v>21.827000000000002</v>
      </c>
    </row>
    <row r="108" spans="1:26" x14ac:dyDescent="0.25">
      <c r="A108">
        <v>1114</v>
      </c>
      <c r="B108" s="34">
        <v>41787</v>
      </c>
      <c r="C108">
        <v>28</v>
      </c>
      <c r="D108" t="s">
        <v>248</v>
      </c>
      <c r="E108" t="s">
        <v>249</v>
      </c>
      <c r="F108" t="s">
        <v>250</v>
      </c>
      <c r="G108" t="s">
        <v>251</v>
      </c>
      <c r="H108">
        <v>99999</v>
      </c>
      <c r="I108" t="s">
        <v>188</v>
      </c>
      <c r="J108" t="s">
        <v>252</v>
      </c>
      <c r="K108" t="s">
        <v>253</v>
      </c>
      <c r="L108">
        <v>41789</v>
      </c>
      <c r="M108" t="s">
        <v>220</v>
      </c>
      <c r="N108" t="s">
        <v>254</v>
      </c>
      <c r="O108" t="s">
        <v>249</v>
      </c>
      <c r="P108" t="s">
        <v>250</v>
      </c>
      <c r="Q108" t="s">
        <v>251</v>
      </c>
      <c r="R108">
        <v>99999</v>
      </c>
      <c r="S108" t="s">
        <v>188</v>
      </c>
      <c r="T108" t="s">
        <v>206</v>
      </c>
      <c r="U108" t="s">
        <v>238</v>
      </c>
      <c r="V108" t="s">
        <v>239</v>
      </c>
      <c r="W108" s="35">
        <v>9.65</v>
      </c>
      <c r="X108">
        <v>74</v>
      </c>
      <c r="Y108" s="36">
        <v>714.1</v>
      </c>
      <c r="Z108" s="35">
        <v>67.839500000000001</v>
      </c>
    </row>
    <row r="109" spans="1:26" x14ac:dyDescent="0.25">
      <c r="A109">
        <v>1115</v>
      </c>
      <c r="B109" s="34">
        <v>41787</v>
      </c>
      <c r="C109">
        <v>28</v>
      </c>
      <c r="D109" t="s">
        <v>248</v>
      </c>
      <c r="E109" t="s">
        <v>249</v>
      </c>
      <c r="F109" t="s">
        <v>250</v>
      </c>
      <c r="G109" t="s">
        <v>251</v>
      </c>
      <c r="H109">
        <v>99999</v>
      </c>
      <c r="I109" t="s">
        <v>188</v>
      </c>
      <c r="J109" t="s">
        <v>252</v>
      </c>
      <c r="K109" t="s">
        <v>253</v>
      </c>
      <c r="L109" s="34">
        <v>41789</v>
      </c>
      <c r="M109" t="s">
        <v>220</v>
      </c>
      <c r="N109" t="s">
        <v>254</v>
      </c>
      <c r="O109" t="s">
        <v>249</v>
      </c>
      <c r="P109" t="s">
        <v>250</v>
      </c>
      <c r="Q109" t="s">
        <v>251</v>
      </c>
      <c r="R109">
        <v>99999</v>
      </c>
      <c r="S109" t="s">
        <v>188</v>
      </c>
      <c r="T109" t="s">
        <v>206</v>
      </c>
      <c r="U109" t="s">
        <v>281</v>
      </c>
      <c r="V109" t="s">
        <v>282</v>
      </c>
      <c r="W109" s="35">
        <v>18.399999999999999</v>
      </c>
      <c r="X109">
        <v>25</v>
      </c>
      <c r="Y109" s="36">
        <v>459.99999999999994</v>
      </c>
      <c r="Z109" s="35">
        <v>46.46</v>
      </c>
    </row>
    <row r="110" spans="1:26" x14ac:dyDescent="0.25">
      <c r="A110">
        <v>1116</v>
      </c>
      <c r="B110" s="34">
        <v>41768</v>
      </c>
      <c r="C110">
        <v>9</v>
      </c>
      <c r="D110" t="s">
        <v>283</v>
      </c>
      <c r="E110" t="s">
        <v>284</v>
      </c>
      <c r="F110" t="s">
        <v>285</v>
      </c>
      <c r="G110" t="s">
        <v>286</v>
      </c>
      <c r="H110">
        <v>99999</v>
      </c>
      <c r="I110" t="s">
        <v>188</v>
      </c>
      <c r="J110" t="s">
        <v>287</v>
      </c>
      <c r="K110" t="s">
        <v>190</v>
      </c>
      <c r="L110" s="34">
        <v>41770</v>
      </c>
      <c r="M110" t="s">
        <v>204</v>
      </c>
      <c r="N110" t="s">
        <v>288</v>
      </c>
      <c r="O110" t="s">
        <v>284</v>
      </c>
      <c r="P110" t="s">
        <v>285</v>
      </c>
      <c r="Q110" t="s">
        <v>286</v>
      </c>
      <c r="R110">
        <v>99999</v>
      </c>
      <c r="S110" t="s">
        <v>188</v>
      </c>
      <c r="T110" t="s">
        <v>193</v>
      </c>
      <c r="U110" t="s">
        <v>289</v>
      </c>
      <c r="V110" t="s">
        <v>290</v>
      </c>
      <c r="W110" s="35">
        <v>19.5</v>
      </c>
      <c r="X110">
        <v>82</v>
      </c>
      <c r="Y110" s="36">
        <v>1599</v>
      </c>
      <c r="Z110" s="35">
        <v>153.50399999999999</v>
      </c>
    </row>
    <row r="111" spans="1:26" x14ac:dyDescent="0.25">
      <c r="A111">
        <v>1117</v>
      </c>
      <c r="B111" s="34">
        <v>41768</v>
      </c>
      <c r="C111">
        <v>9</v>
      </c>
      <c r="D111" t="s">
        <v>283</v>
      </c>
      <c r="E111" t="s">
        <v>284</v>
      </c>
      <c r="F111" t="s">
        <v>285</v>
      </c>
      <c r="G111" t="s">
        <v>286</v>
      </c>
      <c r="H111">
        <v>99999</v>
      </c>
      <c r="I111" t="s">
        <v>188</v>
      </c>
      <c r="J111" t="s">
        <v>287</v>
      </c>
      <c r="K111" t="s">
        <v>190</v>
      </c>
      <c r="L111" s="34">
        <v>41770</v>
      </c>
      <c r="M111" t="s">
        <v>204</v>
      </c>
      <c r="N111" t="s">
        <v>288</v>
      </c>
      <c r="O111" t="s">
        <v>284</v>
      </c>
      <c r="P111" t="s">
        <v>285</v>
      </c>
      <c r="Q111" t="s">
        <v>286</v>
      </c>
      <c r="R111">
        <v>99999</v>
      </c>
      <c r="S111" t="s">
        <v>188</v>
      </c>
      <c r="T111" t="s">
        <v>193</v>
      </c>
      <c r="U111" t="s">
        <v>291</v>
      </c>
      <c r="V111" t="s">
        <v>292</v>
      </c>
      <c r="W111" s="35">
        <v>34.799999999999997</v>
      </c>
      <c r="X111">
        <v>37</v>
      </c>
      <c r="Y111" s="36">
        <v>1287.5999999999999</v>
      </c>
      <c r="Z111" s="35">
        <v>132.62279999999998</v>
      </c>
    </row>
    <row r="112" spans="1:26" x14ac:dyDescent="0.25">
      <c r="A112">
        <v>1118</v>
      </c>
      <c r="B112" s="34">
        <v>41765</v>
      </c>
      <c r="C112">
        <v>6</v>
      </c>
      <c r="D112" t="s">
        <v>240</v>
      </c>
      <c r="E112" t="s">
        <v>241</v>
      </c>
      <c r="F112" t="s">
        <v>242</v>
      </c>
      <c r="G112" t="s">
        <v>243</v>
      </c>
      <c r="H112">
        <v>99999</v>
      </c>
      <c r="I112" t="s">
        <v>188</v>
      </c>
      <c r="J112" t="s">
        <v>244</v>
      </c>
      <c r="K112" t="s">
        <v>219</v>
      </c>
      <c r="L112">
        <v>41767</v>
      </c>
      <c r="M112" t="s">
        <v>191</v>
      </c>
      <c r="N112" t="s">
        <v>245</v>
      </c>
      <c r="O112" t="s">
        <v>241</v>
      </c>
      <c r="P112" t="s">
        <v>242</v>
      </c>
      <c r="Q112" t="s">
        <v>243</v>
      </c>
      <c r="R112">
        <v>99999</v>
      </c>
      <c r="S112" t="s">
        <v>188</v>
      </c>
      <c r="T112" t="s">
        <v>206</v>
      </c>
      <c r="U112" t="s">
        <v>194</v>
      </c>
      <c r="V112" t="s">
        <v>195</v>
      </c>
      <c r="W112" s="35">
        <v>14</v>
      </c>
      <c r="X112">
        <v>84</v>
      </c>
      <c r="Y112" s="36">
        <v>1176</v>
      </c>
      <c r="Z112" s="35">
        <v>112.896</v>
      </c>
    </row>
    <row r="113" spans="1:26" x14ac:dyDescent="0.25">
      <c r="A113">
        <v>1119</v>
      </c>
      <c r="B113" s="34">
        <v>41767</v>
      </c>
      <c r="C113">
        <v>8</v>
      </c>
      <c r="D113" t="s">
        <v>214</v>
      </c>
      <c r="E113" t="s">
        <v>215</v>
      </c>
      <c r="F113" t="s">
        <v>216</v>
      </c>
      <c r="G113" t="s">
        <v>217</v>
      </c>
      <c r="H113">
        <v>99999</v>
      </c>
      <c r="I113" t="s">
        <v>188</v>
      </c>
      <c r="J113" t="s">
        <v>218</v>
      </c>
      <c r="K113" t="s">
        <v>219</v>
      </c>
      <c r="L113">
        <v>41769</v>
      </c>
      <c r="M113" t="s">
        <v>191</v>
      </c>
      <c r="N113" t="s">
        <v>221</v>
      </c>
      <c r="O113" t="s">
        <v>215</v>
      </c>
      <c r="P113" t="s">
        <v>216</v>
      </c>
      <c r="Q113" t="s">
        <v>217</v>
      </c>
      <c r="R113">
        <v>99999</v>
      </c>
      <c r="S113" t="s">
        <v>188</v>
      </c>
      <c r="T113" t="s">
        <v>193</v>
      </c>
      <c r="U113" t="s">
        <v>246</v>
      </c>
      <c r="V113" t="s">
        <v>247</v>
      </c>
      <c r="W113" s="35">
        <v>40</v>
      </c>
      <c r="X113">
        <v>73</v>
      </c>
      <c r="Y113" s="36">
        <v>2920</v>
      </c>
      <c r="Z113" s="35">
        <v>283.24</v>
      </c>
    </row>
    <row r="114" spans="1:26" x14ac:dyDescent="0.25">
      <c r="A114">
        <v>1120</v>
      </c>
      <c r="B114" s="34">
        <v>41767</v>
      </c>
      <c r="C114">
        <v>8</v>
      </c>
      <c r="D114" t="s">
        <v>214</v>
      </c>
      <c r="E114" t="s">
        <v>215</v>
      </c>
      <c r="F114" t="s">
        <v>216</v>
      </c>
      <c r="G114" t="s">
        <v>217</v>
      </c>
      <c r="H114">
        <v>99999</v>
      </c>
      <c r="I114" t="s">
        <v>188</v>
      </c>
      <c r="J114" t="s">
        <v>218</v>
      </c>
      <c r="K114" t="s">
        <v>219</v>
      </c>
      <c r="L114">
        <v>41769</v>
      </c>
      <c r="M114" t="s">
        <v>191</v>
      </c>
      <c r="N114" t="s">
        <v>221</v>
      </c>
      <c r="O114" t="s">
        <v>215</v>
      </c>
      <c r="P114" t="s">
        <v>216</v>
      </c>
      <c r="Q114" t="s">
        <v>217</v>
      </c>
      <c r="R114">
        <v>99999</v>
      </c>
      <c r="S114" t="s">
        <v>188</v>
      </c>
      <c r="T114" t="s">
        <v>193</v>
      </c>
      <c r="U114" t="s">
        <v>222</v>
      </c>
      <c r="V114" t="s">
        <v>223</v>
      </c>
      <c r="W114" s="35">
        <v>9.1999999999999993</v>
      </c>
      <c r="X114">
        <v>51</v>
      </c>
      <c r="Y114" s="36">
        <v>469.2</v>
      </c>
      <c r="Z114" s="35">
        <v>44.573999999999998</v>
      </c>
    </row>
    <row r="115" spans="1:26" x14ac:dyDescent="0.25">
      <c r="A115">
        <v>1121</v>
      </c>
      <c r="B115" s="34">
        <v>41784</v>
      </c>
      <c r="C115">
        <v>25</v>
      </c>
      <c r="D115" t="s">
        <v>295</v>
      </c>
      <c r="E115" t="s">
        <v>296</v>
      </c>
      <c r="F115" t="s">
        <v>257</v>
      </c>
      <c r="G115" t="s">
        <v>258</v>
      </c>
      <c r="H115">
        <v>99999</v>
      </c>
      <c r="I115" t="s">
        <v>188</v>
      </c>
      <c r="J115" t="s">
        <v>259</v>
      </c>
      <c r="K115" t="s">
        <v>203</v>
      </c>
      <c r="L115">
        <v>41786</v>
      </c>
      <c r="M115" t="s">
        <v>204</v>
      </c>
      <c r="N115" t="s">
        <v>297</v>
      </c>
      <c r="O115" t="s">
        <v>296</v>
      </c>
      <c r="P115" t="s">
        <v>257</v>
      </c>
      <c r="Q115" t="s">
        <v>258</v>
      </c>
      <c r="R115">
        <v>99999</v>
      </c>
      <c r="S115" t="s">
        <v>188</v>
      </c>
      <c r="T115" t="s">
        <v>237</v>
      </c>
      <c r="U115" t="s">
        <v>304</v>
      </c>
      <c r="V115" t="s">
        <v>223</v>
      </c>
      <c r="W115" s="35">
        <v>10</v>
      </c>
      <c r="X115">
        <v>66</v>
      </c>
      <c r="Y115" s="36">
        <v>660</v>
      </c>
      <c r="Z115" s="35">
        <v>68.64</v>
      </c>
    </row>
    <row r="116" spans="1:26" x14ac:dyDescent="0.25">
      <c r="A116">
        <v>1122</v>
      </c>
      <c r="B116" s="34">
        <v>41785</v>
      </c>
      <c r="C116">
        <v>26</v>
      </c>
      <c r="D116" t="s">
        <v>298</v>
      </c>
      <c r="E116" t="s">
        <v>299</v>
      </c>
      <c r="F116" t="s">
        <v>273</v>
      </c>
      <c r="G116" t="s">
        <v>274</v>
      </c>
      <c r="H116">
        <v>99999</v>
      </c>
      <c r="I116" t="s">
        <v>188</v>
      </c>
      <c r="J116" t="s">
        <v>252</v>
      </c>
      <c r="K116" t="s">
        <v>253</v>
      </c>
      <c r="L116">
        <v>41787</v>
      </c>
      <c r="M116" t="s">
        <v>220</v>
      </c>
      <c r="N116" t="s">
        <v>300</v>
      </c>
      <c r="O116" t="s">
        <v>299</v>
      </c>
      <c r="P116" t="s">
        <v>273</v>
      </c>
      <c r="Q116" t="s">
        <v>274</v>
      </c>
      <c r="R116">
        <v>99999</v>
      </c>
      <c r="S116" t="s">
        <v>188</v>
      </c>
      <c r="T116" t="s">
        <v>206</v>
      </c>
      <c r="U116" t="s">
        <v>305</v>
      </c>
      <c r="V116" t="s">
        <v>306</v>
      </c>
      <c r="W116" s="35">
        <v>21.35</v>
      </c>
      <c r="X116">
        <v>36</v>
      </c>
      <c r="Y116" s="36">
        <v>768.6</v>
      </c>
      <c r="Z116" s="35">
        <v>74.554200000000009</v>
      </c>
    </row>
    <row r="117" spans="1:26" x14ac:dyDescent="0.25">
      <c r="A117">
        <v>1123</v>
      </c>
      <c r="B117" s="34">
        <v>41785</v>
      </c>
      <c r="C117">
        <v>26</v>
      </c>
      <c r="D117" t="s">
        <v>298</v>
      </c>
      <c r="E117" t="s">
        <v>299</v>
      </c>
      <c r="F117" t="s">
        <v>273</v>
      </c>
      <c r="G117" t="s">
        <v>274</v>
      </c>
      <c r="H117">
        <v>99999</v>
      </c>
      <c r="I117" t="s">
        <v>188</v>
      </c>
      <c r="J117" t="s">
        <v>252</v>
      </c>
      <c r="K117" t="s">
        <v>253</v>
      </c>
      <c r="L117" s="34">
        <v>41787</v>
      </c>
      <c r="M117" t="s">
        <v>220</v>
      </c>
      <c r="N117" t="s">
        <v>300</v>
      </c>
      <c r="O117" t="s">
        <v>299</v>
      </c>
      <c r="P117" t="s">
        <v>273</v>
      </c>
      <c r="Q117" t="s">
        <v>274</v>
      </c>
      <c r="R117">
        <v>99999</v>
      </c>
      <c r="S117" t="s">
        <v>188</v>
      </c>
      <c r="T117" t="s">
        <v>206</v>
      </c>
      <c r="U117" t="s">
        <v>238</v>
      </c>
      <c r="V117" t="s">
        <v>239</v>
      </c>
      <c r="W117" s="35">
        <v>9.65</v>
      </c>
      <c r="X117">
        <v>87</v>
      </c>
      <c r="Y117" s="36">
        <v>839.55000000000007</v>
      </c>
      <c r="Z117" s="35">
        <v>87.313200000000009</v>
      </c>
    </row>
    <row r="118" spans="1:26" x14ac:dyDescent="0.25">
      <c r="A118">
        <v>1124</v>
      </c>
      <c r="B118" s="34">
        <v>41785</v>
      </c>
      <c r="C118">
        <v>26</v>
      </c>
      <c r="D118" t="s">
        <v>298</v>
      </c>
      <c r="E118" t="s">
        <v>299</v>
      </c>
      <c r="F118" t="s">
        <v>273</v>
      </c>
      <c r="G118" t="s">
        <v>274</v>
      </c>
      <c r="H118">
        <v>99999</v>
      </c>
      <c r="I118" t="s">
        <v>188</v>
      </c>
      <c r="J118" t="s">
        <v>252</v>
      </c>
      <c r="K118" t="s">
        <v>253</v>
      </c>
      <c r="L118" s="34">
        <v>41787</v>
      </c>
      <c r="M118" t="s">
        <v>220</v>
      </c>
      <c r="N118" t="s">
        <v>300</v>
      </c>
      <c r="O118" t="s">
        <v>299</v>
      </c>
      <c r="P118" t="s">
        <v>273</v>
      </c>
      <c r="Q118" t="s">
        <v>274</v>
      </c>
      <c r="R118">
        <v>99999</v>
      </c>
      <c r="S118" t="s">
        <v>188</v>
      </c>
      <c r="T118" t="s">
        <v>206</v>
      </c>
      <c r="U118" t="s">
        <v>281</v>
      </c>
      <c r="V118" t="s">
        <v>282</v>
      </c>
      <c r="W118" s="35">
        <v>18.399999999999999</v>
      </c>
      <c r="X118">
        <v>64</v>
      </c>
      <c r="Y118" s="36">
        <v>1177.5999999999999</v>
      </c>
      <c r="Z118" s="35">
        <v>115.40479999999999</v>
      </c>
    </row>
    <row r="119" spans="1:26" x14ac:dyDescent="0.25">
      <c r="A119">
        <v>1125</v>
      </c>
      <c r="B119" s="34">
        <v>41788</v>
      </c>
      <c r="C119">
        <v>29</v>
      </c>
      <c r="D119" t="s">
        <v>224</v>
      </c>
      <c r="E119" t="s">
        <v>225</v>
      </c>
      <c r="F119" t="s">
        <v>226</v>
      </c>
      <c r="G119" t="s">
        <v>227</v>
      </c>
      <c r="H119">
        <v>99999</v>
      </c>
      <c r="I119" t="s">
        <v>188</v>
      </c>
      <c r="J119" t="s">
        <v>228</v>
      </c>
      <c r="K119" t="s">
        <v>190</v>
      </c>
      <c r="L119" s="34">
        <v>41790</v>
      </c>
      <c r="M119" t="s">
        <v>191</v>
      </c>
      <c r="N119" t="s">
        <v>229</v>
      </c>
      <c r="O119" t="s">
        <v>225</v>
      </c>
      <c r="P119" t="s">
        <v>226</v>
      </c>
      <c r="Q119" t="s">
        <v>227</v>
      </c>
      <c r="R119">
        <v>99999</v>
      </c>
      <c r="S119" t="s">
        <v>188</v>
      </c>
      <c r="T119" t="s">
        <v>193</v>
      </c>
      <c r="U119" t="s">
        <v>194</v>
      </c>
      <c r="V119" t="s">
        <v>195</v>
      </c>
      <c r="W119" s="35">
        <v>14</v>
      </c>
      <c r="X119">
        <v>21</v>
      </c>
      <c r="Y119" s="36">
        <v>294</v>
      </c>
      <c r="Z119" s="35">
        <v>30.870000000000005</v>
      </c>
    </row>
    <row r="120" spans="1:26" x14ac:dyDescent="0.25">
      <c r="A120">
        <v>1126</v>
      </c>
      <c r="B120" s="34">
        <v>41765</v>
      </c>
      <c r="C120">
        <v>6</v>
      </c>
      <c r="D120" t="s">
        <v>240</v>
      </c>
      <c r="E120" t="s">
        <v>241</v>
      </c>
      <c r="F120" t="s">
        <v>242</v>
      </c>
      <c r="G120" t="s">
        <v>243</v>
      </c>
      <c r="H120">
        <v>99999</v>
      </c>
      <c r="I120" t="s">
        <v>188</v>
      </c>
      <c r="J120" t="s">
        <v>244</v>
      </c>
      <c r="K120" t="s">
        <v>219</v>
      </c>
      <c r="L120" s="34">
        <v>41767</v>
      </c>
      <c r="M120" t="s">
        <v>220</v>
      </c>
      <c r="N120" t="s">
        <v>245</v>
      </c>
      <c r="O120" t="s">
        <v>241</v>
      </c>
      <c r="P120" t="s">
        <v>242</v>
      </c>
      <c r="Q120" t="s">
        <v>243</v>
      </c>
      <c r="R120">
        <v>99999</v>
      </c>
      <c r="S120" t="s">
        <v>188</v>
      </c>
      <c r="T120" t="s">
        <v>193</v>
      </c>
      <c r="U120" t="s">
        <v>230</v>
      </c>
      <c r="V120" t="s">
        <v>231</v>
      </c>
      <c r="W120" s="35">
        <v>12.75</v>
      </c>
      <c r="X120">
        <v>19</v>
      </c>
      <c r="Y120" s="36">
        <v>242.25</v>
      </c>
      <c r="Z120" s="35">
        <v>24.46725</v>
      </c>
    </row>
    <row r="121" spans="1:26" x14ac:dyDescent="0.25">
      <c r="A121">
        <v>1128</v>
      </c>
      <c r="B121" s="34">
        <v>41763</v>
      </c>
      <c r="C121">
        <v>4</v>
      </c>
      <c r="D121" t="s">
        <v>198</v>
      </c>
      <c r="E121" t="s">
        <v>199</v>
      </c>
      <c r="F121" t="s">
        <v>200</v>
      </c>
      <c r="G121" t="s">
        <v>201</v>
      </c>
      <c r="H121">
        <v>99999</v>
      </c>
      <c r="I121" t="s">
        <v>188</v>
      </c>
      <c r="J121" t="s">
        <v>202</v>
      </c>
      <c r="K121" t="s">
        <v>203</v>
      </c>
      <c r="L121" s="34">
        <v>41765</v>
      </c>
      <c r="M121" t="s">
        <v>204</v>
      </c>
      <c r="N121" t="s">
        <v>205</v>
      </c>
      <c r="O121" t="s">
        <v>199</v>
      </c>
      <c r="P121" t="s">
        <v>200</v>
      </c>
      <c r="Q121" t="s">
        <v>201</v>
      </c>
      <c r="R121">
        <v>99999</v>
      </c>
      <c r="S121" t="s">
        <v>188</v>
      </c>
      <c r="T121" t="s">
        <v>206</v>
      </c>
      <c r="U121" t="s">
        <v>307</v>
      </c>
      <c r="V121" t="s">
        <v>268</v>
      </c>
      <c r="W121" s="35">
        <v>81</v>
      </c>
      <c r="X121">
        <v>23</v>
      </c>
      <c r="Y121" s="36">
        <v>1863</v>
      </c>
      <c r="Z121" s="35">
        <v>195.61500000000001</v>
      </c>
    </row>
    <row r="122" spans="1:26" x14ac:dyDescent="0.25">
      <c r="A122">
        <v>1129</v>
      </c>
      <c r="B122" s="34">
        <v>41763</v>
      </c>
      <c r="C122">
        <v>4</v>
      </c>
      <c r="D122" t="s">
        <v>198</v>
      </c>
      <c r="E122" t="s">
        <v>199</v>
      </c>
      <c r="F122" t="s">
        <v>200</v>
      </c>
      <c r="G122" t="s">
        <v>201</v>
      </c>
      <c r="H122">
        <v>99999</v>
      </c>
      <c r="I122" t="s">
        <v>188</v>
      </c>
      <c r="J122" t="s">
        <v>202</v>
      </c>
      <c r="K122" t="s">
        <v>203</v>
      </c>
      <c r="L122" s="34">
        <v>41765</v>
      </c>
      <c r="M122" t="s">
        <v>204</v>
      </c>
      <c r="N122" t="s">
        <v>205</v>
      </c>
      <c r="O122" t="s">
        <v>199</v>
      </c>
      <c r="P122" t="s">
        <v>200</v>
      </c>
      <c r="Q122" t="s">
        <v>201</v>
      </c>
      <c r="R122">
        <v>99999</v>
      </c>
      <c r="S122" t="s">
        <v>188</v>
      </c>
      <c r="T122" t="s">
        <v>206</v>
      </c>
      <c r="U122" t="s">
        <v>308</v>
      </c>
      <c r="V122" t="s">
        <v>309</v>
      </c>
      <c r="W122" s="35">
        <v>7</v>
      </c>
      <c r="X122">
        <v>72</v>
      </c>
      <c r="Y122" s="36">
        <v>504</v>
      </c>
      <c r="Z122" s="35">
        <v>51.912000000000006</v>
      </c>
    </row>
    <row r="123" spans="1:26" x14ac:dyDescent="0.25">
      <c r="A123">
        <v>1131</v>
      </c>
      <c r="B123" s="34">
        <v>41767</v>
      </c>
      <c r="C123">
        <v>8</v>
      </c>
      <c r="D123" t="s">
        <v>214</v>
      </c>
      <c r="E123" t="s">
        <v>215</v>
      </c>
      <c r="F123" t="s">
        <v>216</v>
      </c>
      <c r="G123" t="s">
        <v>217</v>
      </c>
      <c r="H123">
        <v>99999</v>
      </c>
      <c r="I123" t="s">
        <v>188</v>
      </c>
      <c r="J123" t="s">
        <v>218</v>
      </c>
      <c r="K123" t="s">
        <v>219</v>
      </c>
      <c r="L123" s="34">
        <v>41769</v>
      </c>
      <c r="M123" t="s">
        <v>220</v>
      </c>
      <c r="N123" t="s">
        <v>221</v>
      </c>
      <c r="O123" t="s">
        <v>215</v>
      </c>
      <c r="P123" t="s">
        <v>216</v>
      </c>
      <c r="Q123" t="s">
        <v>217</v>
      </c>
      <c r="R123">
        <v>99999</v>
      </c>
      <c r="S123" t="s">
        <v>188</v>
      </c>
      <c r="T123" t="s">
        <v>206</v>
      </c>
      <c r="U123" t="s">
        <v>291</v>
      </c>
      <c r="V123" t="s">
        <v>292</v>
      </c>
      <c r="W123" s="35">
        <v>34.799999999999997</v>
      </c>
      <c r="X123">
        <v>22</v>
      </c>
      <c r="Y123" s="36">
        <v>765.59999999999991</v>
      </c>
      <c r="Z123" s="35">
        <v>75.02879999999999</v>
      </c>
    </row>
    <row r="124" spans="1:26" x14ac:dyDescent="0.25">
      <c r="A124">
        <v>1134</v>
      </c>
      <c r="B124" s="34">
        <v>41762</v>
      </c>
      <c r="C124">
        <v>3</v>
      </c>
      <c r="D124" t="s">
        <v>232</v>
      </c>
      <c r="E124" t="s">
        <v>233</v>
      </c>
      <c r="F124" t="s">
        <v>234</v>
      </c>
      <c r="G124" t="s">
        <v>235</v>
      </c>
      <c r="H124">
        <v>99999</v>
      </c>
      <c r="I124" t="s">
        <v>188</v>
      </c>
      <c r="J124" t="s">
        <v>189</v>
      </c>
      <c r="K124" t="s">
        <v>190</v>
      </c>
      <c r="L124" s="34">
        <v>41764</v>
      </c>
      <c r="M124" t="s">
        <v>191</v>
      </c>
      <c r="N124" t="s">
        <v>236</v>
      </c>
      <c r="O124" t="s">
        <v>233</v>
      </c>
      <c r="P124" t="s">
        <v>234</v>
      </c>
      <c r="Q124" t="s">
        <v>235</v>
      </c>
      <c r="R124">
        <v>99999</v>
      </c>
      <c r="S124" t="s">
        <v>188</v>
      </c>
      <c r="T124" t="s">
        <v>237</v>
      </c>
      <c r="U124" t="s">
        <v>293</v>
      </c>
      <c r="V124" t="s">
        <v>270</v>
      </c>
      <c r="W124" s="35">
        <v>10</v>
      </c>
      <c r="X124">
        <v>82</v>
      </c>
      <c r="Y124" s="36">
        <v>820</v>
      </c>
      <c r="Z124" s="35">
        <v>85.28</v>
      </c>
    </row>
    <row r="125" spans="1:26" x14ac:dyDescent="0.25">
      <c r="A125">
        <v>1135</v>
      </c>
      <c r="B125" s="34">
        <v>41762</v>
      </c>
      <c r="C125">
        <v>3</v>
      </c>
      <c r="D125" t="s">
        <v>232</v>
      </c>
      <c r="E125" t="s">
        <v>233</v>
      </c>
      <c r="F125" t="s">
        <v>234</v>
      </c>
      <c r="G125" t="s">
        <v>235</v>
      </c>
      <c r="H125">
        <v>99999</v>
      </c>
      <c r="I125" t="s">
        <v>188</v>
      </c>
      <c r="J125" t="s">
        <v>189</v>
      </c>
      <c r="K125" t="s">
        <v>190</v>
      </c>
      <c r="L125" s="34">
        <v>41764</v>
      </c>
      <c r="M125" t="s">
        <v>191</v>
      </c>
      <c r="N125" t="s">
        <v>236</v>
      </c>
      <c r="O125" t="s">
        <v>233</v>
      </c>
      <c r="P125" t="s">
        <v>234</v>
      </c>
      <c r="Q125" t="s">
        <v>235</v>
      </c>
      <c r="R125">
        <v>99999</v>
      </c>
      <c r="S125" t="s">
        <v>188</v>
      </c>
      <c r="T125" t="s">
        <v>237</v>
      </c>
      <c r="U125" t="s">
        <v>246</v>
      </c>
      <c r="V125" t="s">
        <v>247</v>
      </c>
      <c r="W125" s="35">
        <v>40</v>
      </c>
      <c r="X125">
        <v>98</v>
      </c>
      <c r="Y125" s="36">
        <v>3920</v>
      </c>
      <c r="Z125" s="35">
        <v>411.6</v>
      </c>
    </row>
    <row r="126" spans="1:26" x14ac:dyDescent="0.25">
      <c r="A126">
        <v>1138</v>
      </c>
      <c r="B126" s="34">
        <v>41797</v>
      </c>
      <c r="C126">
        <v>7</v>
      </c>
      <c r="D126" t="s">
        <v>262</v>
      </c>
      <c r="E126" t="s">
        <v>263</v>
      </c>
      <c r="F126" t="s">
        <v>264</v>
      </c>
      <c r="G126" t="s">
        <v>265</v>
      </c>
      <c r="H126">
        <v>99999</v>
      </c>
      <c r="I126" t="s">
        <v>188</v>
      </c>
      <c r="J126" t="s">
        <v>218</v>
      </c>
      <c r="K126" t="s">
        <v>219</v>
      </c>
      <c r="L126" s="34"/>
      <c r="N126" t="s">
        <v>266</v>
      </c>
      <c r="O126" t="s">
        <v>263</v>
      </c>
      <c r="P126" t="s">
        <v>264</v>
      </c>
      <c r="Q126" t="s">
        <v>265</v>
      </c>
      <c r="R126">
        <v>99999</v>
      </c>
      <c r="S126" t="s">
        <v>188</v>
      </c>
      <c r="U126" t="s">
        <v>213</v>
      </c>
      <c r="V126" t="s">
        <v>195</v>
      </c>
      <c r="W126" s="35">
        <v>46</v>
      </c>
      <c r="X126">
        <v>71</v>
      </c>
      <c r="Y126" s="36">
        <v>3266</v>
      </c>
      <c r="Z126" s="35">
        <v>310.27</v>
      </c>
    </row>
    <row r="127" spans="1:26" x14ac:dyDescent="0.25">
      <c r="A127">
        <v>1139</v>
      </c>
      <c r="B127" s="34">
        <v>41800</v>
      </c>
      <c r="C127">
        <v>10</v>
      </c>
      <c r="D127" t="s">
        <v>255</v>
      </c>
      <c r="E127" t="s">
        <v>256</v>
      </c>
      <c r="F127" t="s">
        <v>257</v>
      </c>
      <c r="G127" t="s">
        <v>258</v>
      </c>
      <c r="H127">
        <v>99999</v>
      </c>
      <c r="I127" t="s">
        <v>188</v>
      </c>
      <c r="J127" t="s">
        <v>259</v>
      </c>
      <c r="K127" t="s">
        <v>203</v>
      </c>
      <c r="L127" s="34">
        <v>41802</v>
      </c>
      <c r="M127" t="s">
        <v>204</v>
      </c>
      <c r="N127" t="s">
        <v>260</v>
      </c>
      <c r="O127" t="s">
        <v>256</v>
      </c>
      <c r="P127" t="s">
        <v>257</v>
      </c>
      <c r="Q127" t="s">
        <v>258</v>
      </c>
      <c r="R127">
        <v>99999</v>
      </c>
      <c r="S127" t="s">
        <v>188</v>
      </c>
      <c r="U127" t="s">
        <v>267</v>
      </c>
      <c r="V127" t="s">
        <v>268</v>
      </c>
      <c r="W127" s="35">
        <v>25</v>
      </c>
      <c r="X127">
        <v>40</v>
      </c>
      <c r="Y127" s="36">
        <v>1000</v>
      </c>
      <c r="Z127" s="35">
        <v>105</v>
      </c>
    </row>
    <row r="128" spans="1:26" x14ac:dyDescent="0.25">
      <c r="A128">
        <v>1140</v>
      </c>
      <c r="B128" s="34">
        <v>41800</v>
      </c>
      <c r="C128">
        <v>10</v>
      </c>
      <c r="D128" t="s">
        <v>255</v>
      </c>
      <c r="E128" t="s">
        <v>256</v>
      </c>
      <c r="F128" t="s">
        <v>257</v>
      </c>
      <c r="G128" t="s">
        <v>258</v>
      </c>
      <c r="H128">
        <v>99999</v>
      </c>
      <c r="I128" t="s">
        <v>188</v>
      </c>
      <c r="J128" t="s">
        <v>259</v>
      </c>
      <c r="K128" t="s">
        <v>203</v>
      </c>
      <c r="L128" s="34">
        <v>41802</v>
      </c>
      <c r="M128" t="s">
        <v>204</v>
      </c>
      <c r="N128" t="s">
        <v>260</v>
      </c>
      <c r="O128" t="s">
        <v>256</v>
      </c>
      <c r="P128" t="s">
        <v>257</v>
      </c>
      <c r="Q128" t="s">
        <v>258</v>
      </c>
      <c r="R128">
        <v>99999</v>
      </c>
      <c r="S128" t="s">
        <v>188</v>
      </c>
      <c r="U128" t="s">
        <v>269</v>
      </c>
      <c r="V128" t="s">
        <v>270</v>
      </c>
      <c r="W128" s="35">
        <v>22</v>
      </c>
      <c r="X128">
        <v>80</v>
      </c>
      <c r="Y128" s="36">
        <v>1760</v>
      </c>
      <c r="Z128" s="35">
        <v>172.48</v>
      </c>
    </row>
    <row r="129" spans="1:26" x14ac:dyDescent="0.25">
      <c r="A129">
        <v>1141</v>
      </c>
      <c r="B129" s="34">
        <v>41800</v>
      </c>
      <c r="C129">
        <v>10</v>
      </c>
      <c r="D129" t="s">
        <v>255</v>
      </c>
      <c r="E129" t="s">
        <v>256</v>
      </c>
      <c r="F129" t="s">
        <v>257</v>
      </c>
      <c r="G129" t="s">
        <v>258</v>
      </c>
      <c r="H129">
        <v>99999</v>
      </c>
      <c r="I129" t="s">
        <v>188</v>
      </c>
      <c r="J129" t="s">
        <v>259</v>
      </c>
      <c r="K129" t="s">
        <v>203</v>
      </c>
      <c r="L129" s="34">
        <v>41802</v>
      </c>
      <c r="M129" t="s">
        <v>204</v>
      </c>
      <c r="N129" t="s">
        <v>260</v>
      </c>
      <c r="O129" t="s">
        <v>256</v>
      </c>
      <c r="P129" t="s">
        <v>257</v>
      </c>
      <c r="Q129" t="s">
        <v>258</v>
      </c>
      <c r="R129">
        <v>99999</v>
      </c>
      <c r="S129" t="s">
        <v>188</v>
      </c>
      <c r="U129" t="s">
        <v>222</v>
      </c>
      <c r="V129" t="s">
        <v>223</v>
      </c>
      <c r="W129" s="35">
        <v>9.1999999999999993</v>
      </c>
      <c r="X129">
        <v>38</v>
      </c>
      <c r="Y129" s="36">
        <v>349.59999999999997</v>
      </c>
      <c r="Z129" s="35">
        <v>33.211999999999996</v>
      </c>
    </row>
    <row r="130" spans="1:26" x14ac:dyDescent="0.25">
      <c r="A130">
        <v>1142</v>
      </c>
      <c r="B130" s="34">
        <v>41801</v>
      </c>
      <c r="C130">
        <v>11</v>
      </c>
      <c r="D130" t="s">
        <v>271</v>
      </c>
      <c r="E130" t="s">
        <v>272</v>
      </c>
      <c r="F130" t="s">
        <v>273</v>
      </c>
      <c r="G130" t="s">
        <v>274</v>
      </c>
      <c r="H130">
        <v>99999</v>
      </c>
      <c r="I130" t="s">
        <v>188</v>
      </c>
      <c r="J130" t="s">
        <v>252</v>
      </c>
      <c r="K130" t="s">
        <v>253</v>
      </c>
      <c r="L130" s="34"/>
      <c r="M130" t="s">
        <v>220</v>
      </c>
      <c r="N130" t="s">
        <v>275</v>
      </c>
      <c r="O130" t="s">
        <v>272</v>
      </c>
      <c r="P130" t="s">
        <v>273</v>
      </c>
      <c r="Q130" t="s">
        <v>274</v>
      </c>
      <c r="R130">
        <v>99999</v>
      </c>
      <c r="S130" t="s">
        <v>188</v>
      </c>
      <c r="U130" t="s">
        <v>196</v>
      </c>
      <c r="V130" t="s">
        <v>197</v>
      </c>
      <c r="W130">
        <v>3.5</v>
      </c>
      <c r="X130">
        <v>28</v>
      </c>
      <c r="Y130" s="36">
        <v>98</v>
      </c>
      <c r="Z130" s="35">
        <v>10.290000000000001</v>
      </c>
    </row>
    <row r="131" spans="1:26" x14ac:dyDescent="0.25">
      <c r="A131">
        <v>1143</v>
      </c>
      <c r="B131" s="34">
        <v>41801</v>
      </c>
      <c r="C131">
        <v>11</v>
      </c>
      <c r="D131" t="s">
        <v>271</v>
      </c>
      <c r="E131" t="s">
        <v>272</v>
      </c>
      <c r="F131" t="s">
        <v>273</v>
      </c>
      <c r="G131" t="s">
        <v>274</v>
      </c>
      <c r="H131">
        <v>99999</v>
      </c>
      <c r="I131" t="s">
        <v>188</v>
      </c>
      <c r="J131" t="s">
        <v>252</v>
      </c>
      <c r="K131" t="s">
        <v>253</v>
      </c>
      <c r="L131" s="34"/>
      <c r="M131" t="s">
        <v>220</v>
      </c>
      <c r="N131" t="s">
        <v>275</v>
      </c>
      <c r="O131" t="s">
        <v>272</v>
      </c>
      <c r="P131" t="s">
        <v>273</v>
      </c>
      <c r="Q131" t="s">
        <v>274</v>
      </c>
      <c r="R131">
        <v>99999</v>
      </c>
      <c r="S131" t="s">
        <v>188</v>
      </c>
      <c r="U131" t="s">
        <v>261</v>
      </c>
      <c r="V131" t="s">
        <v>195</v>
      </c>
      <c r="W131">
        <v>2.99</v>
      </c>
      <c r="X131">
        <v>60</v>
      </c>
      <c r="Y131" s="36">
        <v>179.4</v>
      </c>
      <c r="Z131" s="35">
        <v>17.581200000000003</v>
      </c>
    </row>
    <row r="132" spans="1:26" x14ac:dyDescent="0.25">
      <c r="A132">
        <v>1144</v>
      </c>
      <c r="B132" s="34">
        <v>41791</v>
      </c>
      <c r="C132">
        <v>1</v>
      </c>
      <c r="D132" t="s">
        <v>276</v>
      </c>
      <c r="E132" t="s">
        <v>277</v>
      </c>
      <c r="F132" t="s">
        <v>278</v>
      </c>
      <c r="G132" t="s">
        <v>279</v>
      </c>
      <c r="H132">
        <v>99999</v>
      </c>
      <c r="I132" t="s">
        <v>188</v>
      </c>
      <c r="J132" t="s">
        <v>218</v>
      </c>
      <c r="K132" t="s">
        <v>219</v>
      </c>
      <c r="L132" s="34"/>
      <c r="N132" t="s">
        <v>280</v>
      </c>
      <c r="O132" t="s">
        <v>277</v>
      </c>
      <c r="P132" t="s">
        <v>278</v>
      </c>
      <c r="Q132" t="s">
        <v>279</v>
      </c>
      <c r="R132">
        <v>99999</v>
      </c>
      <c r="S132" t="s">
        <v>188</v>
      </c>
      <c r="U132" t="s">
        <v>212</v>
      </c>
      <c r="V132" t="s">
        <v>195</v>
      </c>
      <c r="W132">
        <v>18</v>
      </c>
      <c r="X132">
        <v>33</v>
      </c>
      <c r="Y132" s="36">
        <v>594</v>
      </c>
      <c r="Z132" s="35">
        <v>58.212000000000003</v>
      </c>
    </row>
    <row r="133" spans="1:26" x14ac:dyDescent="0.25">
      <c r="A133">
        <v>1145</v>
      </c>
      <c r="B133" s="34">
        <v>41791</v>
      </c>
      <c r="C133">
        <v>1</v>
      </c>
      <c r="D133" t="s">
        <v>276</v>
      </c>
      <c r="E133" t="s">
        <v>277</v>
      </c>
      <c r="F133" t="s">
        <v>278</v>
      </c>
      <c r="G133" t="s">
        <v>279</v>
      </c>
      <c r="H133">
        <v>99999</v>
      </c>
      <c r="I133" t="s">
        <v>188</v>
      </c>
      <c r="J133" t="s">
        <v>218</v>
      </c>
      <c r="K133" t="s">
        <v>219</v>
      </c>
      <c r="L133" s="34"/>
      <c r="N133" t="s">
        <v>280</v>
      </c>
      <c r="O133" t="s">
        <v>277</v>
      </c>
      <c r="P133" t="s">
        <v>278</v>
      </c>
      <c r="Q133" t="s">
        <v>279</v>
      </c>
      <c r="R133">
        <v>99999</v>
      </c>
      <c r="S133" t="s">
        <v>188</v>
      </c>
      <c r="U133" t="s">
        <v>213</v>
      </c>
      <c r="V133" t="s">
        <v>195</v>
      </c>
      <c r="W133">
        <v>46</v>
      </c>
      <c r="X133">
        <v>22</v>
      </c>
      <c r="Y133" s="36">
        <v>1012</v>
      </c>
      <c r="Z133" s="35">
        <v>101.2</v>
      </c>
    </row>
    <row r="134" spans="1:26" x14ac:dyDescent="0.25">
      <c r="A134">
        <v>1146</v>
      </c>
      <c r="B134" s="34">
        <v>41791</v>
      </c>
      <c r="C134">
        <v>1</v>
      </c>
      <c r="D134" t="s">
        <v>276</v>
      </c>
      <c r="E134" t="s">
        <v>277</v>
      </c>
      <c r="F134" t="s">
        <v>278</v>
      </c>
      <c r="G134" t="s">
        <v>279</v>
      </c>
      <c r="H134">
        <v>99999</v>
      </c>
      <c r="I134" t="s">
        <v>188</v>
      </c>
      <c r="J134" t="s">
        <v>218</v>
      </c>
      <c r="K134" t="s">
        <v>219</v>
      </c>
      <c r="L134" s="34"/>
      <c r="N134" t="s">
        <v>280</v>
      </c>
      <c r="O134" t="s">
        <v>277</v>
      </c>
      <c r="P134" t="s">
        <v>278</v>
      </c>
      <c r="Q134" t="s">
        <v>279</v>
      </c>
      <c r="R134">
        <v>99999</v>
      </c>
      <c r="S134" t="s">
        <v>188</v>
      </c>
      <c r="U134" t="s">
        <v>261</v>
      </c>
      <c r="V134" t="s">
        <v>195</v>
      </c>
      <c r="W134">
        <v>2.99</v>
      </c>
      <c r="X134">
        <v>51</v>
      </c>
      <c r="Y134" s="36">
        <v>152.49</v>
      </c>
      <c r="Z134" s="35">
        <v>14.944020000000002</v>
      </c>
    </row>
    <row r="135" spans="1:26" x14ac:dyDescent="0.25">
      <c r="A135">
        <v>1147</v>
      </c>
      <c r="B135" s="34">
        <v>41818</v>
      </c>
      <c r="C135">
        <v>28</v>
      </c>
      <c r="D135" t="s">
        <v>248</v>
      </c>
      <c r="E135" t="s">
        <v>249</v>
      </c>
      <c r="F135" t="s">
        <v>250</v>
      </c>
      <c r="G135" t="s">
        <v>251</v>
      </c>
      <c r="H135">
        <v>99999</v>
      </c>
      <c r="I135" t="s">
        <v>188</v>
      </c>
      <c r="J135" t="s">
        <v>252</v>
      </c>
      <c r="K135" t="s">
        <v>253</v>
      </c>
      <c r="L135" s="34">
        <v>41820</v>
      </c>
      <c r="M135" t="s">
        <v>220</v>
      </c>
      <c r="N135" t="s">
        <v>254</v>
      </c>
      <c r="O135" t="s">
        <v>249</v>
      </c>
      <c r="P135" t="s">
        <v>250</v>
      </c>
      <c r="Q135" t="s">
        <v>251</v>
      </c>
      <c r="R135">
        <v>99999</v>
      </c>
      <c r="S135" t="s">
        <v>188</v>
      </c>
      <c r="T135" t="s">
        <v>206</v>
      </c>
      <c r="U135" t="s">
        <v>238</v>
      </c>
      <c r="V135" t="s">
        <v>239</v>
      </c>
      <c r="W135">
        <v>9.65</v>
      </c>
      <c r="X135">
        <v>60</v>
      </c>
      <c r="Y135" s="36">
        <v>579</v>
      </c>
      <c r="Z135" s="35">
        <v>57.321000000000005</v>
      </c>
    </row>
    <row r="136" spans="1:26" x14ac:dyDescent="0.25">
      <c r="A136">
        <v>1148</v>
      </c>
      <c r="B136" s="34">
        <v>41818</v>
      </c>
      <c r="C136">
        <v>28</v>
      </c>
      <c r="D136" t="s">
        <v>248</v>
      </c>
      <c r="E136" t="s">
        <v>249</v>
      </c>
      <c r="F136" t="s">
        <v>250</v>
      </c>
      <c r="G136" t="s">
        <v>251</v>
      </c>
      <c r="H136">
        <v>99999</v>
      </c>
      <c r="I136" t="s">
        <v>188</v>
      </c>
      <c r="J136" t="s">
        <v>252</v>
      </c>
      <c r="K136" t="s">
        <v>253</v>
      </c>
      <c r="L136" s="34">
        <v>41820</v>
      </c>
      <c r="M136" t="s">
        <v>220</v>
      </c>
      <c r="N136" t="s">
        <v>254</v>
      </c>
      <c r="O136" t="s">
        <v>249</v>
      </c>
      <c r="P136" t="s">
        <v>250</v>
      </c>
      <c r="Q136" t="s">
        <v>251</v>
      </c>
      <c r="R136">
        <v>99999</v>
      </c>
      <c r="S136" t="s">
        <v>188</v>
      </c>
      <c r="T136" t="s">
        <v>206</v>
      </c>
      <c r="U136" t="s">
        <v>281</v>
      </c>
      <c r="V136" t="s">
        <v>282</v>
      </c>
      <c r="W136">
        <v>18.399999999999999</v>
      </c>
      <c r="X136">
        <v>98</v>
      </c>
      <c r="Y136" s="36">
        <v>1803.1999999999998</v>
      </c>
      <c r="Z136" s="35">
        <v>183.9264</v>
      </c>
    </row>
    <row r="137" spans="1:26" x14ac:dyDescent="0.25">
      <c r="A137">
        <v>1149</v>
      </c>
      <c r="B137" s="34">
        <v>41799</v>
      </c>
      <c r="C137">
        <v>9</v>
      </c>
      <c r="D137" t="s">
        <v>283</v>
      </c>
      <c r="E137" t="s">
        <v>284</v>
      </c>
      <c r="F137" t="s">
        <v>285</v>
      </c>
      <c r="G137" t="s">
        <v>286</v>
      </c>
      <c r="H137">
        <v>99999</v>
      </c>
      <c r="I137" t="s">
        <v>188</v>
      </c>
      <c r="J137" t="s">
        <v>287</v>
      </c>
      <c r="K137" t="s">
        <v>190</v>
      </c>
      <c r="L137" s="34">
        <v>41801</v>
      </c>
      <c r="M137" t="s">
        <v>204</v>
      </c>
      <c r="N137" t="s">
        <v>288</v>
      </c>
      <c r="O137" t="s">
        <v>284</v>
      </c>
      <c r="P137" t="s">
        <v>285</v>
      </c>
      <c r="Q137" t="s">
        <v>286</v>
      </c>
      <c r="R137">
        <v>99999</v>
      </c>
      <c r="S137" t="s">
        <v>188</v>
      </c>
      <c r="T137" t="s">
        <v>193</v>
      </c>
      <c r="U137" t="s">
        <v>289</v>
      </c>
      <c r="V137" t="s">
        <v>290</v>
      </c>
      <c r="W137">
        <v>19.5</v>
      </c>
      <c r="X137">
        <v>27</v>
      </c>
      <c r="Y137" s="36">
        <v>526.5</v>
      </c>
      <c r="Z137" s="35">
        <v>51.070500000000003</v>
      </c>
    </row>
    <row r="138" spans="1:26" x14ac:dyDescent="0.25">
      <c r="A138">
        <v>1150</v>
      </c>
      <c r="B138" s="34">
        <v>41799</v>
      </c>
      <c r="C138">
        <v>9</v>
      </c>
      <c r="D138" t="s">
        <v>283</v>
      </c>
      <c r="E138" t="s">
        <v>284</v>
      </c>
      <c r="F138" t="s">
        <v>285</v>
      </c>
      <c r="G138" t="s">
        <v>286</v>
      </c>
      <c r="H138">
        <v>99999</v>
      </c>
      <c r="I138" t="s">
        <v>188</v>
      </c>
      <c r="J138" t="s">
        <v>287</v>
      </c>
      <c r="K138" t="s">
        <v>190</v>
      </c>
      <c r="L138" s="34">
        <v>41801</v>
      </c>
      <c r="M138" t="s">
        <v>204</v>
      </c>
      <c r="N138" t="s">
        <v>288</v>
      </c>
      <c r="O138" t="s">
        <v>284</v>
      </c>
      <c r="P138" t="s">
        <v>285</v>
      </c>
      <c r="Q138" t="s">
        <v>286</v>
      </c>
      <c r="R138">
        <v>99999</v>
      </c>
      <c r="S138" t="s">
        <v>188</v>
      </c>
      <c r="T138" t="s">
        <v>193</v>
      </c>
      <c r="U138" t="s">
        <v>291</v>
      </c>
      <c r="V138" t="s">
        <v>292</v>
      </c>
      <c r="W138">
        <v>34.799999999999997</v>
      </c>
      <c r="X138">
        <v>88</v>
      </c>
      <c r="Y138" s="36">
        <v>3062.3999999999996</v>
      </c>
      <c r="Z138" s="35">
        <v>303.17759999999993</v>
      </c>
    </row>
    <row r="139" spans="1:26" x14ac:dyDescent="0.25">
      <c r="A139">
        <v>1151</v>
      </c>
      <c r="B139" s="34">
        <v>41796</v>
      </c>
      <c r="C139">
        <v>6</v>
      </c>
      <c r="D139" t="s">
        <v>240</v>
      </c>
      <c r="E139" t="s">
        <v>241</v>
      </c>
      <c r="F139" t="s">
        <v>242</v>
      </c>
      <c r="G139" t="s">
        <v>243</v>
      </c>
      <c r="H139">
        <v>99999</v>
      </c>
      <c r="I139" t="s">
        <v>188</v>
      </c>
      <c r="J139" t="s">
        <v>244</v>
      </c>
      <c r="K139" t="s">
        <v>219</v>
      </c>
      <c r="L139" s="34">
        <v>41798</v>
      </c>
      <c r="M139" t="s">
        <v>191</v>
      </c>
      <c r="N139" t="s">
        <v>245</v>
      </c>
      <c r="O139" t="s">
        <v>241</v>
      </c>
      <c r="P139" t="s">
        <v>242</v>
      </c>
      <c r="Q139" t="s">
        <v>243</v>
      </c>
      <c r="R139">
        <v>99999</v>
      </c>
      <c r="S139" t="s">
        <v>188</v>
      </c>
      <c r="T139" t="s">
        <v>206</v>
      </c>
      <c r="U139" t="s">
        <v>194</v>
      </c>
      <c r="V139" t="s">
        <v>195</v>
      </c>
      <c r="W139">
        <v>14</v>
      </c>
      <c r="X139">
        <v>65</v>
      </c>
      <c r="Y139" s="36">
        <v>910</v>
      </c>
      <c r="Z139" s="35">
        <v>95.55</v>
      </c>
    </row>
    <row r="140" spans="1:26" x14ac:dyDescent="0.25">
      <c r="A140">
        <v>1152</v>
      </c>
      <c r="B140" s="34">
        <v>41798</v>
      </c>
      <c r="C140">
        <v>8</v>
      </c>
      <c r="D140" t="s">
        <v>214</v>
      </c>
      <c r="E140" t="s">
        <v>215</v>
      </c>
      <c r="F140" t="s">
        <v>216</v>
      </c>
      <c r="G140" t="s">
        <v>217</v>
      </c>
      <c r="H140">
        <v>99999</v>
      </c>
      <c r="I140" t="s">
        <v>188</v>
      </c>
      <c r="J140" t="s">
        <v>218</v>
      </c>
      <c r="K140" t="s">
        <v>219</v>
      </c>
      <c r="L140" s="34">
        <v>41800</v>
      </c>
      <c r="M140" t="s">
        <v>191</v>
      </c>
      <c r="N140" t="s">
        <v>221</v>
      </c>
      <c r="O140" t="s">
        <v>215</v>
      </c>
      <c r="P140" t="s">
        <v>216</v>
      </c>
      <c r="Q140" t="s">
        <v>217</v>
      </c>
      <c r="R140">
        <v>99999</v>
      </c>
      <c r="S140" t="s">
        <v>188</v>
      </c>
      <c r="T140" t="s">
        <v>193</v>
      </c>
      <c r="U140" t="s">
        <v>246</v>
      </c>
      <c r="V140" t="s">
        <v>247</v>
      </c>
      <c r="W140">
        <v>40</v>
      </c>
      <c r="X140">
        <v>38</v>
      </c>
      <c r="Y140" s="36">
        <v>1520</v>
      </c>
      <c r="Z140" s="35">
        <v>148.96</v>
      </c>
    </row>
    <row r="141" spans="1:26" x14ac:dyDescent="0.25">
      <c r="A141">
        <v>1153</v>
      </c>
      <c r="B141" s="34">
        <v>41798</v>
      </c>
      <c r="C141">
        <v>8</v>
      </c>
      <c r="D141" t="s">
        <v>214</v>
      </c>
      <c r="E141" t="s">
        <v>215</v>
      </c>
      <c r="F141" t="s">
        <v>216</v>
      </c>
      <c r="G141" t="s">
        <v>217</v>
      </c>
      <c r="H141">
        <v>99999</v>
      </c>
      <c r="I141" t="s">
        <v>188</v>
      </c>
      <c r="J141" t="s">
        <v>218</v>
      </c>
      <c r="K141" t="s">
        <v>219</v>
      </c>
      <c r="L141">
        <v>41800</v>
      </c>
      <c r="M141" t="s">
        <v>191</v>
      </c>
      <c r="N141" t="s">
        <v>221</v>
      </c>
      <c r="O141" t="s">
        <v>215</v>
      </c>
      <c r="P141" t="s">
        <v>216</v>
      </c>
      <c r="Q141" t="s">
        <v>217</v>
      </c>
      <c r="R141">
        <v>99999</v>
      </c>
      <c r="S141" t="s">
        <v>188</v>
      </c>
      <c r="T141" t="s">
        <v>193</v>
      </c>
      <c r="U141" t="s">
        <v>222</v>
      </c>
      <c r="V141" t="s">
        <v>223</v>
      </c>
      <c r="W141" s="35">
        <v>9.1999999999999993</v>
      </c>
      <c r="X141">
        <v>80</v>
      </c>
      <c r="Y141" s="36">
        <v>736</v>
      </c>
      <c r="Z141" s="35">
        <v>70.656000000000006</v>
      </c>
    </row>
    <row r="142" spans="1:26" x14ac:dyDescent="0.25">
      <c r="A142">
        <v>1154</v>
      </c>
      <c r="B142" s="34">
        <v>41815</v>
      </c>
      <c r="C142">
        <v>25</v>
      </c>
      <c r="D142" t="s">
        <v>295</v>
      </c>
      <c r="E142" t="s">
        <v>296</v>
      </c>
      <c r="F142" t="s">
        <v>257</v>
      </c>
      <c r="G142" t="s">
        <v>258</v>
      </c>
      <c r="H142">
        <v>99999</v>
      </c>
      <c r="I142" t="s">
        <v>188</v>
      </c>
      <c r="J142" t="s">
        <v>259</v>
      </c>
      <c r="K142" t="s">
        <v>203</v>
      </c>
      <c r="L142" s="34">
        <v>41817</v>
      </c>
      <c r="M142" t="s">
        <v>204</v>
      </c>
      <c r="N142" t="s">
        <v>297</v>
      </c>
      <c r="O142" t="s">
        <v>296</v>
      </c>
      <c r="P142" t="s">
        <v>257</v>
      </c>
      <c r="Q142" t="s">
        <v>258</v>
      </c>
      <c r="R142">
        <v>99999</v>
      </c>
      <c r="S142" t="s">
        <v>188</v>
      </c>
      <c r="T142" t="s">
        <v>237</v>
      </c>
      <c r="U142" t="s">
        <v>304</v>
      </c>
      <c r="V142" t="s">
        <v>223</v>
      </c>
      <c r="W142" s="35">
        <v>10</v>
      </c>
      <c r="X142">
        <v>49</v>
      </c>
      <c r="Y142" s="36">
        <v>490</v>
      </c>
      <c r="Z142" s="35">
        <v>47.04</v>
      </c>
    </row>
    <row r="143" spans="1:26" x14ac:dyDescent="0.25">
      <c r="A143">
        <v>1155</v>
      </c>
      <c r="B143" s="34">
        <v>41816</v>
      </c>
      <c r="C143">
        <v>26</v>
      </c>
      <c r="D143" t="s">
        <v>298</v>
      </c>
      <c r="E143" t="s">
        <v>299</v>
      </c>
      <c r="F143" t="s">
        <v>273</v>
      </c>
      <c r="G143" t="s">
        <v>274</v>
      </c>
      <c r="H143">
        <v>99999</v>
      </c>
      <c r="I143" t="s">
        <v>188</v>
      </c>
      <c r="J143" t="s">
        <v>252</v>
      </c>
      <c r="K143" t="s">
        <v>253</v>
      </c>
      <c r="L143" s="34">
        <v>41818</v>
      </c>
      <c r="M143" t="s">
        <v>220</v>
      </c>
      <c r="N143" t="s">
        <v>300</v>
      </c>
      <c r="O143" t="s">
        <v>299</v>
      </c>
      <c r="P143" t="s">
        <v>273</v>
      </c>
      <c r="Q143" t="s">
        <v>274</v>
      </c>
      <c r="R143">
        <v>99999</v>
      </c>
      <c r="S143" t="s">
        <v>188</v>
      </c>
      <c r="T143" t="s">
        <v>206</v>
      </c>
      <c r="U143" t="s">
        <v>305</v>
      </c>
      <c r="V143" t="s">
        <v>306</v>
      </c>
      <c r="W143" s="35">
        <v>21.35</v>
      </c>
      <c r="X143">
        <v>90</v>
      </c>
      <c r="Y143" s="36">
        <v>1921.5000000000002</v>
      </c>
      <c r="Z143" s="35">
        <v>186.38550000000004</v>
      </c>
    </row>
    <row r="144" spans="1:26" x14ac:dyDescent="0.25">
      <c r="A144">
        <v>1156</v>
      </c>
      <c r="B144" s="34">
        <v>41816</v>
      </c>
      <c r="C144">
        <v>26</v>
      </c>
      <c r="D144" t="s">
        <v>298</v>
      </c>
      <c r="E144" t="s">
        <v>299</v>
      </c>
      <c r="F144" t="s">
        <v>273</v>
      </c>
      <c r="G144" t="s">
        <v>274</v>
      </c>
      <c r="H144">
        <v>99999</v>
      </c>
      <c r="I144" t="s">
        <v>188</v>
      </c>
      <c r="J144" t="s">
        <v>252</v>
      </c>
      <c r="K144" t="s">
        <v>253</v>
      </c>
      <c r="L144" s="34">
        <v>41818</v>
      </c>
      <c r="M144" t="s">
        <v>220</v>
      </c>
      <c r="N144" t="s">
        <v>300</v>
      </c>
      <c r="O144" t="s">
        <v>299</v>
      </c>
      <c r="P144" t="s">
        <v>273</v>
      </c>
      <c r="Q144" t="s">
        <v>274</v>
      </c>
      <c r="R144">
        <v>99999</v>
      </c>
      <c r="S144" t="s">
        <v>188</v>
      </c>
      <c r="T144" t="s">
        <v>206</v>
      </c>
      <c r="U144" t="s">
        <v>238</v>
      </c>
      <c r="V144" t="s">
        <v>239</v>
      </c>
      <c r="W144" s="35">
        <v>9.65</v>
      </c>
      <c r="X144">
        <v>60</v>
      </c>
      <c r="Y144" s="36">
        <v>579</v>
      </c>
      <c r="Z144" s="35">
        <v>59.637000000000008</v>
      </c>
    </row>
    <row r="145" spans="1:26" x14ac:dyDescent="0.25">
      <c r="A145">
        <v>1157</v>
      </c>
      <c r="B145" s="34">
        <v>41816</v>
      </c>
      <c r="C145">
        <v>26</v>
      </c>
      <c r="D145" t="s">
        <v>298</v>
      </c>
      <c r="E145" t="s">
        <v>299</v>
      </c>
      <c r="F145" t="s">
        <v>273</v>
      </c>
      <c r="G145" t="s">
        <v>274</v>
      </c>
      <c r="H145">
        <v>99999</v>
      </c>
      <c r="I145" t="s">
        <v>188</v>
      </c>
      <c r="J145" t="s">
        <v>252</v>
      </c>
      <c r="K145" t="s">
        <v>253</v>
      </c>
      <c r="L145">
        <v>41818</v>
      </c>
      <c r="M145" t="s">
        <v>220</v>
      </c>
      <c r="N145" t="s">
        <v>300</v>
      </c>
      <c r="O145" t="s">
        <v>299</v>
      </c>
      <c r="P145" t="s">
        <v>273</v>
      </c>
      <c r="Q145" t="s">
        <v>274</v>
      </c>
      <c r="R145">
        <v>99999</v>
      </c>
      <c r="S145" t="s">
        <v>188</v>
      </c>
      <c r="T145" t="s">
        <v>206</v>
      </c>
      <c r="U145" t="s">
        <v>281</v>
      </c>
      <c r="V145" t="s">
        <v>282</v>
      </c>
      <c r="W145" s="35">
        <v>18.399999999999999</v>
      </c>
      <c r="X145">
        <v>39</v>
      </c>
      <c r="Y145" s="36">
        <v>717.59999999999991</v>
      </c>
      <c r="Z145" s="35">
        <v>71.759999999999991</v>
      </c>
    </row>
    <row r="146" spans="1:26" x14ac:dyDescent="0.25">
      <c r="A146">
        <v>1158</v>
      </c>
      <c r="B146" s="34">
        <v>41819</v>
      </c>
      <c r="C146">
        <v>29</v>
      </c>
      <c r="D146" t="s">
        <v>224</v>
      </c>
      <c r="E146" t="s">
        <v>225</v>
      </c>
      <c r="F146" t="s">
        <v>226</v>
      </c>
      <c r="G146" t="s">
        <v>227</v>
      </c>
      <c r="H146">
        <v>99999</v>
      </c>
      <c r="I146" t="s">
        <v>188</v>
      </c>
      <c r="J146" t="s">
        <v>228</v>
      </c>
      <c r="K146" t="s">
        <v>190</v>
      </c>
      <c r="L146">
        <v>41821</v>
      </c>
      <c r="M146" t="s">
        <v>191</v>
      </c>
      <c r="N146" t="s">
        <v>229</v>
      </c>
      <c r="O146" t="s">
        <v>225</v>
      </c>
      <c r="P146" t="s">
        <v>226</v>
      </c>
      <c r="Q146" t="s">
        <v>227</v>
      </c>
      <c r="R146">
        <v>99999</v>
      </c>
      <c r="S146" t="s">
        <v>188</v>
      </c>
      <c r="T146" t="s">
        <v>193</v>
      </c>
      <c r="U146" t="s">
        <v>194</v>
      </c>
      <c r="V146" t="s">
        <v>195</v>
      </c>
      <c r="W146" s="35">
        <v>14</v>
      </c>
      <c r="X146">
        <v>79</v>
      </c>
      <c r="Y146" s="36">
        <v>1106</v>
      </c>
      <c r="Z146" s="35">
        <v>113.91800000000001</v>
      </c>
    </row>
    <row r="147" spans="1:26" x14ac:dyDescent="0.25">
      <c r="A147">
        <v>1159</v>
      </c>
      <c r="B147" s="34">
        <v>41796</v>
      </c>
      <c r="C147">
        <v>6</v>
      </c>
      <c r="D147" t="s">
        <v>240</v>
      </c>
      <c r="E147" t="s">
        <v>241</v>
      </c>
      <c r="F147" t="s">
        <v>242</v>
      </c>
      <c r="G147" t="s">
        <v>243</v>
      </c>
      <c r="H147">
        <v>99999</v>
      </c>
      <c r="I147" t="s">
        <v>188</v>
      </c>
      <c r="J147" t="s">
        <v>244</v>
      </c>
      <c r="K147" t="s">
        <v>219</v>
      </c>
      <c r="L147">
        <v>41798</v>
      </c>
      <c r="M147" t="s">
        <v>220</v>
      </c>
      <c r="N147" t="s">
        <v>245</v>
      </c>
      <c r="O147" t="s">
        <v>241</v>
      </c>
      <c r="P147" t="s">
        <v>242</v>
      </c>
      <c r="Q147" t="s">
        <v>243</v>
      </c>
      <c r="R147">
        <v>99999</v>
      </c>
      <c r="S147" t="s">
        <v>188</v>
      </c>
      <c r="T147" t="s">
        <v>193</v>
      </c>
      <c r="U147" t="s">
        <v>230</v>
      </c>
      <c r="V147" t="s">
        <v>231</v>
      </c>
      <c r="W147" s="35">
        <v>12.75</v>
      </c>
      <c r="X147">
        <v>44</v>
      </c>
      <c r="Y147" s="36">
        <v>561</v>
      </c>
      <c r="Z147" s="35">
        <v>57.222000000000001</v>
      </c>
    </row>
    <row r="148" spans="1:26" x14ac:dyDescent="0.25">
      <c r="A148">
        <v>1161</v>
      </c>
      <c r="B148" s="34">
        <v>41794</v>
      </c>
      <c r="C148">
        <v>4</v>
      </c>
      <c r="D148" t="s">
        <v>198</v>
      </c>
      <c r="E148" t="s">
        <v>199</v>
      </c>
      <c r="F148" t="s">
        <v>200</v>
      </c>
      <c r="G148" t="s">
        <v>201</v>
      </c>
      <c r="H148">
        <v>99999</v>
      </c>
      <c r="I148" t="s">
        <v>188</v>
      </c>
      <c r="J148" t="s">
        <v>202</v>
      </c>
      <c r="K148" t="s">
        <v>203</v>
      </c>
      <c r="L148">
        <v>41796</v>
      </c>
      <c r="M148" t="s">
        <v>204</v>
      </c>
      <c r="N148" t="s">
        <v>205</v>
      </c>
      <c r="O148" t="s">
        <v>199</v>
      </c>
      <c r="P148" t="s">
        <v>200</v>
      </c>
      <c r="Q148" t="s">
        <v>201</v>
      </c>
      <c r="R148">
        <v>99999</v>
      </c>
      <c r="S148" t="s">
        <v>188</v>
      </c>
      <c r="T148" t="s">
        <v>206</v>
      </c>
      <c r="U148" t="s">
        <v>307</v>
      </c>
      <c r="V148" t="s">
        <v>268</v>
      </c>
      <c r="W148" s="35">
        <v>81</v>
      </c>
      <c r="X148">
        <v>98</v>
      </c>
      <c r="Y148" s="36">
        <v>7938</v>
      </c>
      <c r="Z148" s="35">
        <v>769.98599999999999</v>
      </c>
    </row>
    <row r="149" spans="1:26" x14ac:dyDescent="0.25">
      <c r="A149">
        <v>1162</v>
      </c>
      <c r="B149" s="34">
        <v>41794</v>
      </c>
      <c r="C149">
        <v>4</v>
      </c>
      <c r="D149" t="s">
        <v>198</v>
      </c>
      <c r="E149" t="s">
        <v>199</v>
      </c>
      <c r="F149" t="s">
        <v>200</v>
      </c>
      <c r="G149" t="s">
        <v>201</v>
      </c>
      <c r="H149">
        <v>99999</v>
      </c>
      <c r="I149" t="s">
        <v>188</v>
      </c>
      <c r="J149" t="s">
        <v>202</v>
      </c>
      <c r="K149" t="s">
        <v>203</v>
      </c>
      <c r="L149">
        <v>41796</v>
      </c>
      <c r="M149" t="s">
        <v>204</v>
      </c>
      <c r="N149" t="s">
        <v>205</v>
      </c>
      <c r="O149" t="s">
        <v>199</v>
      </c>
      <c r="P149" t="s">
        <v>200</v>
      </c>
      <c r="Q149" t="s">
        <v>201</v>
      </c>
      <c r="R149">
        <v>99999</v>
      </c>
      <c r="S149" t="s">
        <v>188</v>
      </c>
      <c r="T149" t="s">
        <v>206</v>
      </c>
      <c r="U149" t="s">
        <v>308</v>
      </c>
      <c r="V149" t="s">
        <v>309</v>
      </c>
      <c r="W149" s="35">
        <v>7</v>
      </c>
      <c r="X149">
        <v>61</v>
      </c>
      <c r="Y149" s="36">
        <v>427</v>
      </c>
      <c r="Z149" s="35">
        <v>42.273000000000003</v>
      </c>
    </row>
    <row r="150" spans="1:26" x14ac:dyDescent="0.25">
      <c r="A150">
        <v>1164</v>
      </c>
      <c r="B150" s="34">
        <v>41798</v>
      </c>
      <c r="C150">
        <v>8</v>
      </c>
      <c r="D150" t="s">
        <v>214</v>
      </c>
      <c r="E150" t="s">
        <v>215</v>
      </c>
      <c r="F150" t="s">
        <v>216</v>
      </c>
      <c r="G150" t="s">
        <v>217</v>
      </c>
      <c r="H150">
        <v>99999</v>
      </c>
      <c r="I150" t="s">
        <v>188</v>
      </c>
      <c r="J150" t="s">
        <v>218</v>
      </c>
      <c r="K150" t="s">
        <v>219</v>
      </c>
      <c r="L150" s="34">
        <v>41800</v>
      </c>
      <c r="M150" t="s">
        <v>220</v>
      </c>
      <c r="N150" t="s">
        <v>221</v>
      </c>
      <c r="O150" t="s">
        <v>215</v>
      </c>
      <c r="P150" t="s">
        <v>216</v>
      </c>
      <c r="Q150" t="s">
        <v>217</v>
      </c>
      <c r="R150">
        <v>99999</v>
      </c>
      <c r="S150" t="s">
        <v>188</v>
      </c>
      <c r="T150" t="s">
        <v>206</v>
      </c>
      <c r="U150" t="s">
        <v>291</v>
      </c>
      <c r="V150" t="s">
        <v>292</v>
      </c>
      <c r="W150" s="35">
        <v>34.799999999999997</v>
      </c>
      <c r="X150">
        <v>30</v>
      </c>
      <c r="Y150" s="36">
        <v>1044</v>
      </c>
      <c r="Z150" s="35">
        <v>109.62</v>
      </c>
    </row>
    <row r="151" spans="1:26" x14ac:dyDescent="0.25">
      <c r="A151">
        <v>1167</v>
      </c>
      <c r="B151" s="34">
        <v>41793</v>
      </c>
      <c r="C151">
        <v>3</v>
      </c>
      <c r="D151" t="s">
        <v>232</v>
      </c>
      <c r="E151" t="s">
        <v>233</v>
      </c>
      <c r="F151" t="s">
        <v>234</v>
      </c>
      <c r="G151" t="s">
        <v>235</v>
      </c>
      <c r="H151">
        <v>99999</v>
      </c>
      <c r="I151" t="s">
        <v>188</v>
      </c>
      <c r="J151" t="s">
        <v>189</v>
      </c>
      <c r="K151" t="s">
        <v>190</v>
      </c>
      <c r="L151" s="34">
        <v>41795</v>
      </c>
      <c r="M151" t="s">
        <v>191</v>
      </c>
      <c r="N151" t="s">
        <v>236</v>
      </c>
      <c r="O151" t="s">
        <v>233</v>
      </c>
      <c r="P151" t="s">
        <v>234</v>
      </c>
      <c r="Q151" t="s">
        <v>235</v>
      </c>
      <c r="R151">
        <v>99999</v>
      </c>
      <c r="S151" t="s">
        <v>188</v>
      </c>
      <c r="T151" t="s">
        <v>237</v>
      </c>
      <c r="U151" t="s">
        <v>293</v>
      </c>
      <c r="V151" t="s">
        <v>270</v>
      </c>
      <c r="W151" s="35">
        <v>10</v>
      </c>
      <c r="X151">
        <v>24</v>
      </c>
      <c r="Y151" s="36">
        <v>240</v>
      </c>
      <c r="Z151" s="35">
        <v>25.200000000000003</v>
      </c>
    </row>
    <row r="152" spans="1:26" x14ac:dyDescent="0.25">
      <c r="A152">
        <v>1168</v>
      </c>
      <c r="B152" s="34">
        <v>41793</v>
      </c>
      <c r="C152">
        <v>3</v>
      </c>
      <c r="D152" t="s">
        <v>232</v>
      </c>
      <c r="E152" t="s">
        <v>233</v>
      </c>
      <c r="F152" t="s">
        <v>234</v>
      </c>
      <c r="G152" t="s">
        <v>235</v>
      </c>
      <c r="H152">
        <v>99999</v>
      </c>
      <c r="I152" t="s">
        <v>188</v>
      </c>
      <c r="J152" t="s">
        <v>189</v>
      </c>
      <c r="K152" t="s">
        <v>190</v>
      </c>
      <c r="L152" s="34">
        <v>41795</v>
      </c>
      <c r="M152" t="s">
        <v>191</v>
      </c>
      <c r="N152" t="s">
        <v>236</v>
      </c>
      <c r="O152" t="s">
        <v>233</v>
      </c>
      <c r="P152" t="s">
        <v>234</v>
      </c>
      <c r="Q152" t="s">
        <v>235</v>
      </c>
      <c r="R152">
        <v>99999</v>
      </c>
      <c r="S152" t="s">
        <v>188</v>
      </c>
      <c r="T152" t="s">
        <v>237</v>
      </c>
      <c r="U152" t="s">
        <v>246</v>
      </c>
      <c r="V152" t="s">
        <v>247</v>
      </c>
      <c r="W152" s="35">
        <v>40</v>
      </c>
      <c r="X152">
        <v>28</v>
      </c>
      <c r="Y152" s="36">
        <v>1120</v>
      </c>
      <c r="Z152" s="35">
        <v>109.75999999999999</v>
      </c>
    </row>
    <row r="153" spans="1:26" x14ac:dyDescent="0.25">
      <c r="A153">
        <v>1172</v>
      </c>
      <c r="B153" s="34">
        <v>41800</v>
      </c>
      <c r="C153">
        <v>10</v>
      </c>
      <c r="D153" t="s">
        <v>255</v>
      </c>
      <c r="E153" t="s">
        <v>256</v>
      </c>
      <c r="F153" t="s">
        <v>257</v>
      </c>
      <c r="G153" t="s">
        <v>258</v>
      </c>
      <c r="H153">
        <v>99999</v>
      </c>
      <c r="I153" t="s">
        <v>188</v>
      </c>
      <c r="J153" t="s">
        <v>259</v>
      </c>
      <c r="K153" t="s">
        <v>203</v>
      </c>
      <c r="L153" s="34">
        <v>41802</v>
      </c>
      <c r="M153" t="s">
        <v>191</v>
      </c>
      <c r="N153" t="s">
        <v>260</v>
      </c>
      <c r="O153" t="s">
        <v>256</v>
      </c>
      <c r="P153" t="s">
        <v>257</v>
      </c>
      <c r="Q153" t="s">
        <v>258</v>
      </c>
      <c r="R153">
        <v>99999</v>
      </c>
      <c r="S153" t="s">
        <v>188</v>
      </c>
      <c r="T153" t="s">
        <v>206</v>
      </c>
      <c r="U153" t="s">
        <v>294</v>
      </c>
      <c r="V153" t="s">
        <v>197</v>
      </c>
      <c r="W153" s="35">
        <v>10</v>
      </c>
      <c r="X153">
        <v>74</v>
      </c>
      <c r="Y153" s="36">
        <v>740</v>
      </c>
      <c r="Z153" s="35">
        <v>71.78</v>
      </c>
    </row>
    <row r="154" spans="1:26" x14ac:dyDescent="0.25">
      <c r="A154">
        <v>1174</v>
      </c>
      <c r="B154" s="34">
        <v>41800</v>
      </c>
      <c r="C154">
        <v>10</v>
      </c>
      <c r="D154" t="s">
        <v>255</v>
      </c>
      <c r="E154" t="s">
        <v>256</v>
      </c>
      <c r="F154" t="s">
        <v>257</v>
      </c>
      <c r="G154" t="s">
        <v>258</v>
      </c>
      <c r="H154">
        <v>99999</v>
      </c>
      <c r="I154" t="s">
        <v>188</v>
      </c>
      <c r="J154" t="s">
        <v>259</v>
      </c>
      <c r="K154" t="s">
        <v>203</v>
      </c>
      <c r="L154" s="34"/>
      <c r="M154" t="s">
        <v>204</v>
      </c>
      <c r="N154" t="s">
        <v>260</v>
      </c>
      <c r="O154" t="s">
        <v>256</v>
      </c>
      <c r="P154" t="s">
        <v>257</v>
      </c>
      <c r="Q154" t="s">
        <v>258</v>
      </c>
      <c r="R154">
        <v>99999</v>
      </c>
      <c r="S154" t="s">
        <v>188</v>
      </c>
      <c r="U154" t="s">
        <v>196</v>
      </c>
      <c r="V154" t="s">
        <v>197</v>
      </c>
      <c r="W154" s="35">
        <v>3.5</v>
      </c>
      <c r="X154">
        <v>90</v>
      </c>
      <c r="Y154" s="36">
        <v>315</v>
      </c>
      <c r="Z154" s="35">
        <v>30.24</v>
      </c>
    </row>
    <row r="155" spans="1:26" x14ac:dyDescent="0.25">
      <c r="A155">
        <v>1175</v>
      </c>
      <c r="B155" s="34">
        <v>41801</v>
      </c>
      <c r="C155">
        <v>11</v>
      </c>
      <c r="D155" t="s">
        <v>271</v>
      </c>
      <c r="E155" t="s">
        <v>272</v>
      </c>
      <c r="F155" t="s">
        <v>273</v>
      </c>
      <c r="G155" t="s">
        <v>274</v>
      </c>
      <c r="H155">
        <v>99999</v>
      </c>
      <c r="I155" t="s">
        <v>188</v>
      </c>
      <c r="J155" t="s">
        <v>252</v>
      </c>
      <c r="K155" t="s">
        <v>253</v>
      </c>
      <c r="L155" s="34"/>
      <c r="M155" t="s">
        <v>220</v>
      </c>
      <c r="N155" t="s">
        <v>275</v>
      </c>
      <c r="O155" t="s">
        <v>272</v>
      </c>
      <c r="P155" t="s">
        <v>273</v>
      </c>
      <c r="Q155" t="s">
        <v>274</v>
      </c>
      <c r="R155">
        <v>99999</v>
      </c>
      <c r="S155" t="s">
        <v>188</v>
      </c>
      <c r="U155" t="s">
        <v>246</v>
      </c>
      <c r="V155" t="s">
        <v>247</v>
      </c>
      <c r="W155" s="35">
        <v>40</v>
      </c>
      <c r="X155">
        <v>27</v>
      </c>
      <c r="Y155" s="36">
        <v>1080</v>
      </c>
      <c r="Z155" s="35">
        <v>111.24000000000001</v>
      </c>
    </row>
    <row r="156" spans="1:26" x14ac:dyDescent="0.25">
      <c r="A156">
        <v>1176</v>
      </c>
      <c r="B156" s="34">
        <v>41791</v>
      </c>
      <c r="C156">
        <v>1</v>
      </c>
      <c r="D156" t="s">
        <v>276</v>
      </c>
      <c r="E156" t="s">
        <v>277</v>
      </c>
      <c r="F156" t="s">
        <v>278</v>
      </c>
      <c r="G156" t="s">
        <v>279</v>
      </c>
      <c r="H156">
        <v>99999</v>
      </c>
      <c r="I156" t="s">
        <v>188</v>
      </c>
      <c r="J156" t="s">
        <v>218</v>
      </c>
      <c r="K156" t="s">
        <v>219</v>
      </c>
      <c r="L156" s="34"/>
      <c r="M156" t="s">
        <v>220</v>
      </c>
      <c r="N156" t="s">
        <v>280</v>
      </c>
      <c r="O156" t="s">
        <v>277</v>
      </c>
      <c r="P156" t="s">
        <v>278</v>
      </c>
      <c r="Q156" t="s">
        <v>279</v>
      </c>
      <c r="R156">
        <v>99999</v>
      </c>
      <c r="S156" t="s">
        <v>188</v>
      </c>
      <c r="U156" t="s">
        <v>281</v>
      </c>
      <c r="V156" t="s">
        <v>282</v>
      </c>
      <c r="W156" s="35">
        <v>18.399999999999999</v>
      </c>
      <c r="X156">
        <v>71</v>
      </c>
      <c r="Y156" s="36">
        <v>1306.3999999999999</v>
      </c>
      <c r="Z156" s="35">
        <v>137.172</v>
      </c>
    </row>
    <row r="157" spans="1:26" x14ac:dyDescent="0.25">
      <c r="A157">
        <v>1177</v>
      </c>
      <c r="B157" s="34">
        <v>41818</v>
      </c>
      <c r="C157">
        <v>28</v>
      </c>
      <c r="D157" t="s">
        <v>248</v>
      </c>
      <c r="E157" t="s">
        <v>249</v>
      </c>
      <c r="F157" t="s">
        <v>250</v>
      </c>
      <c r="G157" t="s">
        <v>251</v>
      </c>
      <c r="H157">
        <v>99999</v>
      </c>
      <c r="I157" t="s">
        <v>188</v>
      </c>
      <c r="J157" t="s">
        <v>252</v>
      </c>
      <c r="K157" t="s">
        <v>253</v>
      </c>
      <c r="L157" s="34">
        <v>41820</v>
      </c>
      <c r="M157" t="s">
        <v>220</v>
      </c>
      <c r="N157" t="s">
        <v>254</v>
      </c>
      <c r="O157" t="s">
        <v>249</v>
      </c>
      <c r="P157" t="s">
        <v>250</v>
      </c>
      <c r="Q157" t="s">
        <v>251</v>
      </c>
      <c r="R157">
        <v>99999</v>
      </c>
      <c r="S157" t="s">
        <v>188</v>
      </c>
      <c r="T157" t="s">
        <v>206</v>
      </c>
      <c r="U157" t="s">
        <v>213</v>
      </c>
      <c r="V157" t="s">
        <v>195</v>
      </c>
      <c r="W157" s="35">
        <v>46</v>
      </c>
      <c r="X157">
        <v>74</v>
      </c>
      <c r="Y157" s="36">
        <v>3404</v>
      </c>
      <c r="Z157" s="35">
        <v>340.40000000000003</v>
      </c>
    </row>
    <row r="158" spans="1:26" x14ac:dyDescent="0.25">
      <c r="A158">
        <v>1178</v>
      </c>
      <c r="B158" s="34">
        <v>41799</v>
      </c>
      <c r="C158">
        <v>9</v>
      </c>
      <c r="D158" t="s">
        <v>283</v>
      </c>
      <c r="E158" t="s">
        <v>284</v>
      </c>
      <c r="F158" t="s">
        <v>285</v>
      </c>
      <c r="G158" t="s">
        <v>286</v>
      </c>
      <c r="H158">
        <v>99999</v>
      </c>
      <c r="I158" t="s">
        <v>188</v>
      </c>
      <c r="J158" t="s">
        <v>287</v>
      </c>
      <c r="K158" t="s">
        <v>190</v>
      </c>
      <c r="L158" s="34">
        <v>41801</v>
      </c>
      <c r="M158" t="s">
        <v>204</v>
      </c>
      <c r="N158" t="s">
        <v>288</v>
      </c>
      <c r="O158" t="s">
        <v>284</v>
      </c>
      <c r="P158" t="s">
        <v>285</v>
      </c>
      <c r="Q158" t="s">
        <v>286</v>
      </c>
      <c r="R158">
        <v>99999</v>
      </c>
      <c r="S158" t="s">
        <v>188</v>
      </c>
      <c r="T158" t="s">
        <v>193</v>
      </c>
      <c r="U158" t="s">
        <v>238</v>
      </c>
      <c r="V158" t="s">
        <v>239</v>
      </c>
      <c r="W158" s="35">
        <v>9.65</v>
      </c>
      <c r="X158">
        <v>76</v>
      </c>
      <c r="Y158" s="36">
        <v>733.4</v>
      </c>
      <c r="Z158" s="35">
        <v>72.6066</v>
      </c>
    </row>
    <row r="159" spans="1:26" x14ac:dyDescent="0.25">
      <c r="A159">
        <v>1179</v>
      </c>
      <c r="B159" s="34">
        <v>41796</v>
      </c>
      <c r="C159">
        <v>6</v>
      </c>
      <c r="D159" t="s">
        <v>240</v>
      </c>
      <c r="E159" t="s">
        <v>241</v>
      </c>
      <c r="F159" t="s">
        <v>242</v>
      </c>
      <c r="G159" t="s">
        <v>243</v>
      </c>
      <c r="H159">
        <v>99999</v>
      </c>
      <c r="I159" t="s">
        <v>188</v>
      </c>
      <c r="J159" t="s">
        <v>244</v>
      </c>
      <c r="K159" t="s">
        <v>219</v>
      </c>
      <c r="L159" s="34">
        <v>41798</v>
      </c>
      <c r="M159" t="s">
        <v>191</v>
      </c>
      <c r="N159" t="s">
        <v>245</v>
      </c>
      <c r="O159" t="s">
        <v>241</v>
      </c>
      <c r="P159" t="s">
        <v>242</v>
      </c>
      <c r="Q159" t="s">
        <v>243</v>
      </c>
      <c r="R159">
        <v>99999</v>
      </c>
      <c r="S159" t="s">
        <v>188</v>
      </c>
      <c r="T159" t="s">
        <v>206</v>
      </c>
      <c r="U159" t="s">
        <v>230</v>
      </c>
      <c r="V159" t="s">
        <v>231</v>
      </c>
      <c r="W159" s="35">
        <v>12.75</v>
      </c>
      <c r="X159">
        <v>96</v>
      </c>
      <c r="Y159" s="36">
        <v>1224</v>
      </c>
      <c r="Z159" s="35">
        <v>123.62400000000001</v>
      </c>
    </row>
    <row r="160" spans="1:26" x14ac:dyDescent="0.25">
      <c r="A160">
        <v>1180</v>
      </c>
      <c r="B160" s="34">
        <v>41798</v>
      </c>
      <c r="C160">
        <v>8</v>
      </c>
      <c r="D160" t="s">
        <v>214</v>
      </c>
      <c r="E160" t="s">
        <v>215</v>
      </c>
      <c r="F160" t="s">
        <v>216</v>
      </c>
      <c r="G160" t="s">
        <v>217</v>
      </c>
      <c r="H160">
        <v>99999</v>
      </c>
      <c r="I160" t="s">
        <v>188</v>
      </c>
      <c r="J160" t="s">
        <v>218</v>
      </c>
      <c r="K160" t="s">
        <v>219</v>
      </c>
      <c r="L160" s="34">
        <v>41800</v>
      </c>
      <c r="M160" t="s">
        <v>191</v>
      </c>
      <c r="N160" t="s">
        <v>221</v>
      </c>
      <c r="O160" t="s">
        <v>215</v>
      </c>
      <c r="P160" t="s">
        <v>216</v>
      </c>
      <c r="Q160" t="s">
        <v>217</v>
      </c>
      <c r="R160">
        <v>99999</v>
      </c>
      <c r="S160" t="s">
        <v>188</v>
      </c>
      <c r="T160" t="s">
        <v>193</v>
      </c>
      <c r="U160" t="s">
        <v>230</v>
      </c>
      <c r="V160" t="s">
        <v>231</v>
      </c>
      <c r="W160" s="35">
        <v>12.75</v>
      </c>
      <c r="X160">
        <v>92</v>
      </c>
      <c r="Y160" s="36">
        <v>1173</v>
      </c>
      <c r="Z160" s="35">
        <v>116.12700000000001</v>
      </c>
    </row>
    <row r="161" spans="1:26" x14ac:dyDescent="0.25">
      <c r="A161">
        <v>1181</v>
      </c>
      <c r="B161" s="34">
        <v>41815</v>
      </c>
      <c r="C161">
        <v>25</v>
      </c>
      <c r="D161" t="s">
        <v>295</v>
      </c>
      <c r="E161" t="s">
        <v>296</v>
      </c>
      <c r="F161" t="s">
        <v>257</v>
      </c>
      <c r="G161" t="s">
        <v>258</v>
      </c>
      <c r="H161">
        <v>99999</v>
      </c>
      <c r="I161" t="s">
        <v>188</v>
      </c>
      <c r="J161" t="s">
        <v>259</v>
      </c>
      <c r="K161" t="s">
        <v>203</v>
      </c>
      <c r="L161" s="34">
        <v>41817</v>
      </c>
      <c r="M161" t="s">
        <v>204</v>
      </c>
      <c r="N161" t="s">
        <v>297</v>
      </c>
      <c r="O161" t="s">
        <v>296</v>
      </c>
      <c r="P161" t="s">
        <v>257</v>
      </c>
      <c r="Q161" t="s">
        <v>258</v>
      </c>
      <c r="R161">
        <v>99999</v>
      </c>
      <c r="S161" t="s">
        <v>188</v>
      </c>
      <c r="T161" t="s">
        <v>237</v>
      </c>
      <c r="U161" t="s">
        <v>269</v>
      </c>
      <c r="V161" t="s">
        <v>270</v>
      </c>
      <c r="W161" s="35">
        <v>22</v>
      </c>
      <c r="X161">
        <v>93</v>
      </c>
      <c r="Y161" s="36">
        <v>2046</v>
      </c>
      <c r="Z161" s="35">
        <v>200.50800000000001</v>
      </c>
    </row>
    <row r="162" spans="1:26" x14ac:dyDescent="0.25">
      <c r="A162">
        <v>1182</v>
      </c>
      <c r="B162" s="34">
        <v>41816</v>
      </c>
      <c r="C162">
        <v>26</v>
      </c>
      <c r="D162" t="s">
        <v>298</v>
      </c>
      <c r="E162" t="s">
        <v>299</v>
      </c>
      <c r="F162" t="s">
        <v>273</v>
      </c>
      <c r="G162" t="s">
        <v>274</v>
      </c>
      <c r="H162">
        <v>99999</v>
      </c>
      <c r="I162" t="s">
        <v>188</v>
      </c>
      <c r="J162" t="s">
        <v>252</v>
      </c>
      <c r="K162" t="s">
        <v>253</v>
      </c>
      <c r="L162" s="34">
        <v>41818</v>
      </c>
      <c r="M162" t="s">
        <v>220</v>
      </c>
      <c r="N162" t="s">
        <v>300</v>
      </c>
      <c r="O162" t="s">
        <v>299</v>
      </c>
      <c r="P162" t="s">
        <v>273</v>
      </c>
      <c r="Q162" t="s">
        <v>274</v>
      </c>
      <c r="R162">
        <v>99999</v>
      </c>
      <c r="S162" t="s">
        <v>188</v>
      </c>
      <c r="T162" t="s">
        <v>206</v>
      </c>
      <c r="U162" t="s">
        <v>267</v>
      </c>
      <c r="V162" t="s">
        <v>268</v>
      </c>
      <c r="W162" s="35">
        <v>25</v>
      </c>
      <c r="X162">
        <v>18</v>
      </c>
      <c r="Y162" s="36">
        <v>450</v>
      </c>
      <c r="Z162" s="35">
        <v>42.75</v>
      </c>
    </row>
    <row r="163" spans="1:26" x14ac:dyDescent="0.25">
      <c r="A163">
        <v>1183</v>
      </c>
      <c r="B163" s="34">
        <v>41819</v>
      </c>
      <c r="C163">
        <v>29</v>
      </c>
      <c r="D163" t="s">
        <v>224</v>
      </c>
      <c r="E163" t="s">
        <v>225</v>
      </c>
      <c r="F163" t="s">
        <v>226</v>
      </c>
      <c r="G163" t="s">
        <v>227</v>
      </c>
      <c r="H163">
        <v>99999</v>
      </c>
      <c r="I163" t="s">
        <v>188</v>
      </c>
      <c r="J163" t="s">
        <v>228</v>
      </c>
      <c r="K163" t="s">
        <v>190</v>
      </c>
      <c r="L163" s="34">
        <v>41821</v>
      </c>
      <c r="M163" t="s">
        <v>191</v>
      </c>
      <c r="N163" t="s">
        <v>229</v>
      </c>
      <c r="O163" t="s">
        <v>225</v>
      </c>
      <c r="P163" t="s">
        <v>226</v>
      </c>
      <c r="Q163" t="s">
        <v>227</v>
      </c>
      <c r="R163">
        <v>99999</v>
      </c>
      <c r="S163" t="s">
        <v>188</v>
      </c>
      <c r="T163" t="s">
        <v>193</v>
      </c>
      <c r="U163" t="s">
        <v>301</v>
      </c>
      <c r="V163" t="s">
        <v>302</v>
      </c>
      <c r="W163">
        <v>39</v>
      </c>
      <c r="X163">
        <v>98</v>
      </c>
      <c r="Y163" s="36">
        <v>3822</v>
      </c>
      <c r="Z163" s="35">
        <v>397.48800000000006</v>
      </c>
    </row>
    <row r="164" spans="1:26" x14ac:dyDescent="0.25">
      <c r="A164">
        <v>1184</v>
      </c>
      <c r="B164" s="34">
        <v>41796</v>
      </c>
      <c r="C164">
        <v>6</v>
      </c>
      <c r="D164" t="s">
        <v>240</v>
      </c>
      <c r="E164" t="s">
        <v>241</v>
      </c>
      <c r="F164" t="s">
        <v>242</v>
      </c>
      <c r="G164" t="s">
        <v>243</v>
      </c>
      <c r="H164">
        <v>99999</v>
      </c>
      <c r="I164" t="s">
        <v>188</v>
      </c>
      <c r="J164" t="s">
        <v>244</v>
      </c>
      <c r="K164" t="s">
        <v>219</v>
      </c>
      <c r="L164" s="34">
        <v>41798</v>
      </c>
      <c r="M164" t="s">
        <v>220</v>
      </c>
      <c r="N164" t="s">
        <v>245</v>
      </c>
      <c r="O164" t="s">
        <v>241</v>
      </c>
      <c r="P164" t="s">
        <v>242</v>
      </c>
      <c r="Q164" t="s">
        <v>243</v>
      </c>
      <c r="R164">
        <v>99999</v>
      </c>
      <c r="S164" t="s">
        <v>188</v>
      </c>
      <c r="T164" t="s">
        <v>193</v>
      </c>
      <c r="U164" t="s">
        <v>207</v>
      </c>
      <c r="V164" t="s">
        <v>197</v>
      </c>
      <c r="W164">
        <v>30</v>
      </c>
      <c r="X164">
        <v>46</v>
      </c>
      <c r="Y164" s="36">
        <v>1380</v>
      </c>
      <c r="Z164" s="35">
        <v>135.24</v>
      </c>
    </row>
    <row r="165" spans="1:26" x14ac:dyDescent="0.25">
      <c r="A165">
        <v>1185</v>
      </c>
      <c r="B165" s="34">
        <v>41796</v>
      </c>
      <c r="C165">
        <v>6</v>
      </c>
      <c r="D165" t="s">
        <v>240</v>
      </c>
      <c r="E165" t="s">
        <v>241</v>
      </c>
      <c r="F165" t="s">
        <v>242</v>
      </c>
      <c r="G165" t="s">
        <v>243</v>
      </c>
      <c r="H165">
        <v>99999</v>
      </c>
      <c r="I165" t="s">
        <v>188</v>
      </c>
      <c r="J165" t="s">
        <v>244</v>
      </c>
      <c r="K165" t="s">
        <v>219</v>
      </c>
      <c r="L165" s="34">
        <v>41798</v>
      </c>
      <c r="M165" t="s">
        <v>220</v>
      </c>
      <c r="N165" t="s">
        <v>245</v>
      </c>
      <c r="O165" t="s">
        <v>241</v>
      </c>
      <c r="P165" t="s">
        <v>242</v>
      </c>
      <c r="Q165" t="s">
        <v>243</v>
      </c>
      <c r="R165">
        <v>99999</v>
      </c>
      <c r="S165" t="s">
        <v>188</v>
      </c>
      <c r="T165" t="s">
        <v>193</v>
      </c>
      <c r="U165" t="s">
        <v>208</v>
      </c>
      <c r="V165" t="s">
        <v>197</v>
      </c>
      <c r="W165">
        <v>53</v>
      </c>
      <c r="X165">
        <v>14</v>
      </c>
      <c r="Y165" s="36">
        <v>742</v>
      </c>
      <c r="Z165" s="35">
        <v>74.2</v>
      </c>
    </row>
    <row r="166" spans="1:26" x14ac:dyDescent="0.25">
      <c r="A166">
        <v>1186</v>
      </c>
      <c r="B166" s="34">
        <v>41794</v>
      </c>
      <c r="C166">
        <v>4</v>
      </c>
      <c r="D166" t="s">
        <v>198</v>
      </c>
      <c r="E166" t="s">
        <v>199</v>
      </c>
      <c r="F166" t="s">
        <v>200</v>
      </c>
      <c r="G166" t="s">
        <v>201</v>
      </c>
      <c r="H166">
        <v>99999</v>
      </c>
      <c r="I166" t="s">
        <v>188</v>
      </c>
      <c r="J166" t="s">
        <v>202</v>
      </c>
      <c r="K166" t="s">
        <v>203</v>
      </c>
      <c r="L166" s="34"/>
      <c r="N166" t="s">
        <v>205</v>
      </c>
      <c r="O166" t="s">
        <v>199</v>
      </c>
      <c r="P166" t="s">
        <v>200</v>
      </c>
      <c r="Q166" t="s">
        <v>201</v>
      </c>
      <c r="R166">
        <v>99999</v>
      </c>
      <c r="S166" t="s">
        <v>188</v>
      </c>
      <c r="U166" t="s">
        <v>303</v>
      </c>
      <c r="V166" t="s">
        <v>290</v>
      </c>
      <c r="W166">
        <v>38</v>
      </c>
      <c r="X166">
        <v>85</v>
      </c>
      <c r="Y166" s="36">
        <v>3230</v>
      </c>
      <c r="Z166" s="35">
        <v>319.77</v>
      </c>
    </row>
    <row r="167" spans="1:26" x14ac:dyDescent="0.25">
      <c r="A167">
        <v>1187</v>
      </c>
      <c r="B167" s="34">
        <v>41793</v>
      </c>
      <c r="C167">
        <v>3</v>
      </c>
      <c r="D167" t="s">
        <v>232</v>
      </c>
      <c r="E167" t="s">
        <v>233</v>
      </c>
      <c r="F167" t="s">
        <v>234</v>
      </c>
      <c r="G167" t="s">
        <v>235</v>
      </c>
      <c r="H167">
        <v>99999</v>
      </c>
      <c r="I167" t="s">
        <v>188</v>
      </c>
      <c r="J167" t="s">
        <v>189</v>
      </c>
      <c r="K167" t="s">
        <v>190</v>
      </c>
      <c r="L167" s="34"/>
      <c r="N167" t="s">
        <v>236</v>
      </c>
      <c r="O167" t="s">
        <v>233</v>
      </c>
      <c r="P167" t="s">
        <v>234</v>
      </c>
      <c r="Q167" t="s">
        <v>235</v>
      </c>
      <c r="R167">
        <v>99999</v>
      </c>
      <c r="S167" t="s">
        <v>188</v>
      </c>
      <c r="U167" t="s">
        <v>261</v>
      </c>
      <c r="V167" t="s">
        <v>195</v>
      </c>
      <c r="W167">
        <v>2.99</v>
      </c>
      <c r="X167">
        <v>88</v>
      </c>
      <c r="Y167" s="36">
        <v>263.12</v>
      </c>
      <c r="Z167" s="35">
        <v>25.522639999999999</v>
      </c>
    </row>
    <row r="168" spans="1:26" x14ac:dyDescent="0.25">
      <c r="A168">
        <v>1188</v>
      </c>
      <c r="B168" s="34">
        <v>41821</v>
      </c>
      <c r="C168">
        <v>1</v>
      </c>
      <c r="D168" t="s">
        <v>276</v>
      </c>
      <c r="E168" t="s">
        <v>277</v>
      </c>
      <c r="F168" t="s">
        <v>278</v>
      </c>
      <c r="G168" t="s">
        <v>279</v>
      </c>
      <c r="H168">
        <v>99999</v>
      </c>
      <c r="I168" t="s">
        <v>188</v>
      </c>
      <c r="J168" t="s">
        <v>218</v>
      </c>
      <c r="K168" t="s">
        <v>219</v>
      </c>
      <c r="L168" s="34"/>
      <c r="N168" t="s">
        <v>280</v>
      </c>
      <c r="O168" t="s">
        <v>277</v>
      </c>
      <c r="P168" t="s">
        <v>278</v>
      </c>
      <c r="Q168" t="s">
        <v>279</v>
      </c>
      <c r="R168">
        <v>99999</v>
      </c>
      <c r="S168" t="s">
        <v>188</v>
      </c>
      <c r="U168" t="s">
        <v>261</v>
      </c>
      <c r="V168" t="s">
        <v>195</v>
      </c>
      <c r="W168">
        <v>2.99</v>
      </c>
      <c r="X168">
        <v>81</v>
      </c>
      <c r="Y168" s="36">
        <v>242.19000000000003</v>
      </c>
      <c r="Z168" s="35">
        <v>23.976810000000004</v>
      </c>
    </row>
    <row r="169" spans="1:26" x14ac:dyDescent="0.25">
      <c r="A169">
        <v>1189</v>
      </c>
      <c r="B169" s="34">
        <v>41848</v>
      </c>
      <c r="C169">
        <v>28</v>
      </c>
      <c r="D169" t="s">
        <v>248</v>
      </c>
      <c r="E169" t="s">
        <v>249</v>
      </c>
      <c r="F169" t="s">
        <v>250</v>
      </c>
      <c r="G169" t="s">
        <v>251</v>
      </c>
      <c r="H169">
        <v>99999</v>
      </c>
      <c r="I169" t="s">
        <v>188</v>
      </c>
      <c r="J169" t="s">
        <v>252</v>
      </c>
      <c r="K169" t="s">
        <v>253</v>
      </c>
      <c r="L169" s="34">
        <v>41850</v>
      </c>
      <c r="M169" t="s">
        <v>220</v>
      </c>
      <c r="N169" t="s">
        <v>254</v>
      </c>
      <c r="O169" t="s">
        <v>249</v>
      </c>
      <c r="P169" t="s">
        <v>250</v>
      </c>
      <c r="Q169" t="s">
        <v>251</v>
      </c>
      <c r="R169">
        <v>99999</v>
      </c>
      <c r="S169" t="s">
        <v>188</v>
      </c>
      <c r="T169" t="s">
        <v>206</v>
      </c>
      <c r="U169" t="s">
        <v>238</v>
      </c>
      <c r="V169" t="s">
        <v>239</v>
      </c>
      <c r="W169">
        <v>9.65</v>
      </c>
      <c r="X169">
        <v>33</v>
      </c>
      <c r="Y169" s="36">
        <v>318.45</v>
      </c>
      <c r="Z169" s="35">
        <v>30.252749999999999</v>
      </c>
    </row>
    <row r="170" spans="1:26" x14ac:dyDescent="0.25">
      <c r="A170">
        <v>1190</v>
      </c>
      <c r="B170" s="34">
        <v>41848</v>
      </c>
      <c r="C170">
        <v>28</v>
      </c>
      <c r="D170" t="s">
        <v>248</v>
      </c>
      <c r="E170" t="s">
        <v>249</v>
      </c>
      <c r="F170" t="s">
        <v>250</v>
      </c>
      <c r="G170" t="s">
        <v>251</v>
      </c>
      <c r="H170">
        <v>99999</v>
      </c>
      <c r="I170" t="s">
        <v>188</v>
      </c>
      <c r="J170" t="s">
        <v>252</v>
      </c>
      <c r="K170" t="s">
        <v>253</v>
      </c>
      <c r="L170" s="34">
        <v>41850</v>
      </c>
      <c r="M170" t="s">
        <v>220</v>
      </c>
      <c r="N170" t="s">
        <v>254</v>
      </c>
      <c r="O170" t="s">
        <v>249</v>
      </c>
      <c r="P170" t="s">
        <v>250</v>
      </c>
      <c r="Q170" t="s">
        <v>251</v>
      </c>
      <c r="R170">
        <v>99999</v>
      </c>
      <c r="S170" t="s">
        <v>188</v>
      </c>
      <c r="T170" t="s">
        <v>206</v>
      </c>
      <c r="U170" t="s">
        <v>281</v>
      </c>
      <c r="V170" t="s">
        <v>282</v>
      </c>
      <c r="W170">
        <v>18.399999999999999</v>
      </c>
      <c r="X170">
        <v>47</v>
      </c>
      <c r="Y170" s="36">
        <v>864.8</v>
      </c>
      <c r="Z170" s="35">
        <v>90.804000000000002</v>
      </c>
    </row>
    <row r="171" spans="1:26" x14ac:dyDescent="0.25">
      <c r="A171">
        <v>1191</v>
      </c>
      <c r="B171" s="34">
        <v>41829</v>
      </c>
      <c r="C171">
        <v>9</v>
      </c>
      <c r="D171" t="s">
        <v>283</v>
      </c>
      <c r="E171" t="s">
        <v>284</v>
      </c>
      <c r="F171" t="s">
        <v>285</v>
      </c>
      <c r="G171" t="s">
        <v>286</v>
      </c>
      <c r="H171">
        <v>99999</v>
      </c>
      <c r="I171" t="s">
        <v>188</v>
      </c>
      <c r="J171" t="s">
        <v>287</v>
      </c>
      <c r="K171" t="s">
        <v>190</v>
      </c>
      <c r="L171" s="34">
        <v>41831</v>
      </c>
      <c r="M171" t="s">
        <v>204</v>
      </c>
      <c r="N171" t="s">
        <v>288</v>
      </c>
      <c r="O171" t="s">
        <v>284</v>
      </c>
      <c r="P171" t="s">
        <v>285</v>
      </c>
      <c r="Q171" t="s">
        <v>286</v>
      </c>
      <c r="R171">
        <v>99999</v>
      </c>
      <c r="S171" t="s">
        <v>188</v>
      </c>
      <c r="T171" t="s">
        <v>193</v>
      </c>
      <c r="U171" t="s">
        <v>289</v>
      </c>
      <c r="V171" t="s">
        <v>290</v>
      </c>
      <c r="W171">
        <v>19.5</v>
      </c>
      <c r="X171">
        <v>61</v>
      </c>
      <c r="Y171" s="36">
        <v>1189.5</v>
      </c>
      <c r="Z171" s="35">
        <v>123.70800000000001</v>
      </c>
    </row>
    <row r="172" spans="1:26" x14ac:dyDescent="0.25">
      <c r="A172">
        <v>1192</v>
      </c>
      <c r="B172" s="34">
        <v>41829</v>
      </c>
      <c r="C172">
        <v>9</v>
      </c>
      <c r="D172" t="s">
        <v>283</v>
      </c>
      <c r="E172" t="s">
        <v>284</v>
      </c>
      <c r="F172" t="s">
        <v>285</v>
      </c>
      <c r="G172" t="s">
        <v>286</v>
      </c>
      <c r="H172">
        <v>99999</v>
      </c>
      <c r="I172" t="s">
        <v>188</v>
      </c>
      <c r="J172" t="s">
        <v>287</v>
      </c>
      <c r="K172" t="s">
        <v>190</v>
      </c>
      <c r="L172" s="34">
        <v>41831</v>
      </c>
      <c r="M172" t="s">
        <v>204</v>
      </c>
      <c r="N172" t="s">
        <v>288</v>
      </c>
      <c r="O172" t="s">
        <v>284</v>
      </c>
      <c r="P172" t="s">
        <v>285</v>
      </c>
      <c r="Q172" t="s">
        <v>286</v>
      </c>
      <c r="R172">
        <v>99999</v>
      </c>
      <c r="S172" t="s">
        <v>188</v>
      </c>
      <c r="T172" t="s">
        <v>193</v>
      </c>
      <c r="U172" t="s">
        <v>291</v>
      </c>
      <c r="V172" t="s">
        <v>292</v>
      </c>
      <c r="W172">
        <v>34.799999999999997</v>
      </c>
      <c r="X172">
        <v>27</v>
      </c>
      <c r="Y172" s="36">
        <v>939.59999999999991</v>
      </c>
      <c r="Z172" s="35">
        <v>95.839199999999991</v>
      </c>
    </row>
    <row r="173" spans="1:26" x14ac:dyDescent="0.25">
      <c r="A173">
        <v>1193</v>
      </c>
      <c r="B173" s="34">
        <v>41826</v>
      </c>
      <c r="C173">
        <v>6</v>
      </c>
      <c r="D173" t="s">
        <v>240</v>
      </c>
      <c r="E173" t="s">
        <v>241</v>
      </c>
      <c r="F173" t="s">
        <v>242</v>
      </c>
      <c r="G173" t="s">
        <v>243</v>
      </c>
      <c r="H173">
        <v>99999</v>
      </c>
      <c r="I173" t="s">
        <v>188</v>
      </c>
      <c r="J173" t="s">
        <v>244</v>
      </c>
      <c r="K173" t="s">
        <v>219</v>
      </c>
      <c r="L173" s="34">
        <v>41828</v>
      </c>
      <c r="M173" t="s">
        <v>191</v>
      </c>
      <c r="N173" t="s">
        <v>245</v>
      </c>
      <c r="O173" t="s">
        <v>241</v>
      </c>
      <c r="P173" t="s">
        <v>242</v>
      </c>
      <c r="Q173" t="s">
        <v>243</v>
      </c>
      <c r="R173">
        <v>99999</v>
      </c>
      <c r="S173" t="s">
        <v>188</v>
      </c>
      <c r="T173" t="s">
        <v>206</v>
      </c>
      <c r="U173" t="s">
        <v>194</v>
      </c>
      <c r="V173" t="s">
        <v>195</v>
      </c>
      <c r="W173">
        <v>14</v>
      </c>
      <c r="X173">
        <v>84</v>
      </c>
      <c r="Y173" s="36">
        <v>1176</v>
      </c>
      <c r="Z173" s="35">
        <v>118.77600000000001</v>
      </c>
    </row>
    <row r="174" spans="1:26" x14ac:dyDescent="0.25">
      <c r="A174">
        <v>1194</v>
      </c>
      <c r="B174" s="34">
        <v>41828</v>
      </c>
      <c r="C174">
        <v>8</v>
      </c>
      <c r="D174" t="s">
        <v>214</v>
      </c>
      <c r="E174" t="s">
        <v>215</v>
      </c>
      <c r="F174" t="s">
        <v>216</v>
      </c>
      <c r="G174" t="s">
        <v>217</v>
      </c>
      <c r="H174">
        <v>99999</v>
      </c>
      <c r="I174" t="s">
        <v>188</v>
      </c>
      <c r="J174" t="s">
        <v>218</v>
      </c>
      <c r="K174" t="s">
        <v>219</v>
      </c>
      <c r="L174" s="34">
        <v>41830</v>
      </c>
      <c r="M174" t="s">
        <v>191</v>
      </c>
      <c r="N174" t="s">
        <v>221</v>
      </c>
      <c r="O174" t="s">
        <v>215</v>
      </c>
      <c r="P174" t="s">
        <v>216</v>
      </c>
      <c r="Q174" t="s">
        <v>217</v>
      </c>
      <c r="R174">
        <v>99999</v>
      </c>
      <c r="S174" t="s">
        <v>188</v>
      </c>
      <c r="T174" t="s">
        <v>193</v>
      </c>
      <c r="U174" t="s">
        <v>246</v>
      </c>
      <c r="V174" t="s">
        <v>247</v>
      </c>
      <c r="W174">
        <v>40</v>
      </c>
      <c r="X174">
        <v>91</v>
      </c>
      <c r="Y174" s="36">
        <v>3640</v>
      </c>
      <c r="Z174" s="35">
        <v>360.36</v>
      </c>
    </row>
    <row r="175" spans="1:26" x14ac:dyDescent="0.25">
      <c r="A175">
        <v>1195</v>
      </c>
      <c r="B175" s="34">
        <v>41828</v>
      </c>
      <c r="C175">
        <v>8</v>
      </c>
      <c r="D175" t="s">
        <v>214</v>
      </c>
      <c r="E175" t="s">
        <v>215</v>
      </c>
      <c r="F175" t="s">
        <v>216</v>
      </c>
      <c r="G175" t="s">
        <v>217</v>
      </c>
      <c r="H175">
        <v>99999</v>
      </c>
      <c r="I175" t="s">
        <v>188</v>
      </c>
      <c r="J175" t="s">
        <v>218</v>
      </c>
      <c r="K175" t="s">
        <v>219</v>
      </c>
      <c r="L175" s="34">
        <v>41830</v>
      </c>
      <c r="M175" t="s">
        <v>191</v>
      </c>
      <c r="N175" t="s">
        <v>221</v>
      </c>
      <c r="O175" t="s">
        <v>215</v>
      </c>
      <c r="P175" t="s">
        <v>216</v>
      </c>
      <c r="Q175" t="s">
        <v>217</v>
      </c>
      <c r="R175">
        <v>99999</v>
      </c>
      <c r="S175" t="s">
        <v>188</v>
      </c>
      <c r="T175" t="s">
        <v>193</v>
      </c>
      <c r="U175" t="s">
        <v>222</v>
      </c>
      <c r="V175" t="s">
        <v>223</v>
      </c>
      <c r="W175">
        <v>9.1999999999999993</v>
      </c>
      <c r="X175">
        <v>36</v>
      </c>
      <c r="Y175" s="36">
        <v>331.2</v>
      </c>
      <c r="Z175" s="35">
        <v>34.444800000000001</v>
      </c>
    </row>
    <row r="176" spans="1:26" x14ac:dyDescent="0.25">
      <c r="A176">
        <v>1196</v>
      </c>
      <c r="B176" s="34">
        <v>41845</v>
      </c>
      <c r="C176">
        <v>25</v>
      </c>
      <c r="D176" t="s">
        <v>295</v>
      </c>
      <c r="E176" t="s">
        <v>296</v>
      </c>
      <c r="F176" t="s">
        <v>257</v>
      </c>
      <c r="G176" t="s">
        <v>258</v>
      </c>
      <c r="H176">
        <v>99999</v>
      </c>
      <c r="I176" t="s">
        <v>188</v>
      </c>
      <c r="J176" t="s">
        <v>259</v>
      </c>
      <c r="K176" t="s">
        <v>203</v>
      </c>
      <c r="L176">
        <v>41847</v>
      </c>
      <c r="M176" t="s">
        <v>204</v>
      </c>
      <c r="N176" t="s">
        <v>297</v>
      </c>
      <c r="O176" t="s">
        <v>296</v>
      </c>
      <c r="P176" t="s">
        <v>257</v>
      </c>
      <c r="Q176" t="s">
        <v>258</v>
      </c>
      <c r="R176">
        <v>99999</v>
      </c>
      <c r="S176" t="s">
        <v>188</v>
      </c>
      <c r="T176" t="s">
        <v>237</v>
      </c>
      <c r="U176" t="s">
        <v>304</v>
      </c>
      <c r="V176" t="s">
        <v>223</v>
      </c>
      <c r="W176">
        <v>10</v>
      </c>
      <c r="X176">
        <v>34</v>
      </c>
      <c r="Y176" s="36">
        <v>340</v>
      </c>
      <c r="Z176" s="35">
        <v>34.340000000000003</v>
      </c>
    </row>
    <row r="177" spans="1:26" x14ac:dyDescent="0.25">
      <c r="A177">
        <v>1197</v>
      </c>
      <c r="B177" s="34">
        <v>41846</v>
      </c>
      <c r="C177">
        <v>26</v>
      </c>
      <c r="D177" t="s">
        <v>298</v>
      </c>
      <c r="E177" t="s">
        <v>299</v>
      </c>
      <c r="F177" t="s">
        <v>273</v>
      </c>
      <c r="G177" t="s">
        <v>274</v>
      </c>
      <c r="H177">
        <v>99999</v>
      </c>
      <c r="I177" t="s">
        <v>188</v>
      </c>
      <c r="J177" t="s">
        <v>252</v>
      </c>
      <c r="K177" t="s">
        <v>253</v>
      </c>
      <c r="L177">
        <v>41848</v>
      </c>
      <c r="M177" t="s">
        <v>220</v>
      </c>
      <c r="N177" t="s">
        <v>300</v>
      </c>
      <c r="O177" t="s">
        <v>299</v>
      </c>
      <c r="P177" t="s">
        <v>273</v>
      </c>
      <c r="Q177" t="s">
        <v>274</v>
      </c>
      <c r="R177">
        <v>99999</v>
      </c>
      <c r="S177" t="s">
        <v>188</v>
      </c>
      <c r="T177" t="s">
        <v>206</v>
      </c>
      <c r="U177" t="s">
        <v>305</v>
      </c>
      <c r="V177" t="s">
        <v>306</v>
      </c>
      <c r="W177">
        <v>21.35</v>
      </c>
      <c r="X177">
        <v>81</v>
      </c>
      <c r="Y177" s="36">
        <v>1729.3500000000001</v>
      </c>
      <c r="Z177" s="35">
        <v>178.12305000000003</v>
      </c>
    </row>
    <row r="178" spans="1:26" x14ac:dyDescent="0.25">
      <c r="A178">
        <v>1198</v>
      </c>
      <c r="B178" s="34">
        <v>41846</v>
      </c>
      <c r="C178">
        <v>26</v>
      </c>
      <c r="D178" t="s">
        <v>298</v>
      </c>
      <c r="E178" t="s">
        <v>299</v>
      </c>
      <c r="F178" t="s">
        <v>273</v>
      </c>
      <c r="G178" t="s">
        <v>274</v>
      </c>
      <c r="H178">
        <v>99999</v>
      </c>
      <c r="I178" t="s">
        <v>188</v>
      </c>
      <c r="J178" t="s">
        <v>252</v>
      </c>
      <c r="K178" t="s">
        <v>253</v>
      </c>
      <c r="L178">
        <v>41848</v>
      </c>
      <c r="M178" t="s">
        <v>220</v>
      </c>
      <c r="N178" t="s">
        <v>300</v>
      </c>
      <c r="O178" t="s">
        <v>299</v>
      </c>
      <c r="P178" t="s">
        <v>273</v>
      </c>
      <c r="Q178" t="s">
        <v>274</v>
      </c>
      <c r="R178">
        <v>99999</v>
      </c>
      <c r="S178" t="s">
        <v>188</v>
      </c>
      <c r="T178" t="s">
        <v>206</v>
      </c>
      <c r="U178" t="s">
        <v>238</v>
      </c>
      <c r="V178" t="s">
        <v>239</v>
      </c>
      <c r="W178">
        <v>9.65</v>
      </c>
      <c r="X178">
        <v>25</v>
      </c>
      <c r="Y178" s="36">
        <v>241.25</v>
      </c>
      <c r="Z178" s="35">
        <v>23.401250000000001</v>
      </c>
    </row>
    <row r="179" spans="1:26" x14ac:dyDescent="0.25">
      <c r="A179">
        <v>1199</v>
      </c>
      <c r="B179" s="34">
        <v>41846</v>
      </c>
      <c r="C179">
        <v>26</v>
      </c>
      <c r="D179" t="s">
        <v>298</v>
      </c>
      <c r="E179" t="s">
        <v>299</v>
      </c>
      <c r="F179" t="s">
        <v>273</v>
      </c>
      <c r="G179" t="s">
        <v>274</v>
      </c>
      <c r="H179">
        <v>99999</v>
      </c>
      <c r="I179" t="s">
        <v>188</v>
      </c>
      <c r="J179" t="s">
        <v>252</v>
      </c>
      <c r="K179" t="s">
        <v>253</v>
      </c>
      <c r="L179">
        <v>41848</v>
      </c>
      <c r="M179" t="s">
        <v>220</v>
      </c>
      <c r="N179" t="s">
        <v>300</v>
      </c>
      <c r="O179" t="s">
        <v>299</v>
      </c>
      <c r="P179" t="s">
        <v>273</v>
      </c>
      <c r="Q179" t="s">
        <v>274</v>
      </c>
      <c r="R179">
        <v>99999</v>
      </c>
      <c r="S179" t="s">
        <v>188</v>
      </c>
      <c r="T179" t="s">
        <v>206</v>
      </c>
      <c r="U179" t="s">
        <v>281</v>
      </c>
      <c r="V179" t="s">
        <v>282</v>
      </c>
      <c r="W179">
        <v>18.399999999999999</v>
      </c>
      <c r="X179">
        <v>12</v>
      </c>
      <c r="Y179" s="36">
        <v>220.79999999999998</v>
      </c>
      <c r="Z179" s="35">
        <v>22.08</v>
      </c>
    </row>
    <row r="180" spans="1:26" x14ac:dyDescent="0.25">
      <c r="A180">
        <v>1200</v>
      </c>
      <c r="B180" s="34">
        <v>41849</v>
      </c>
      <c r="C180">
        <v>29</v>
      </c>
      <c r="D180" t="s">
        <v>224</v>
      </c>
      <c r="E180" t="s">
        <v>225</v>
      </c>
      <c r="F180" t="s">
        <v>226</v>
      </c>
      <c r="G180" t="s">
        <v>227</v>
      </c>
      <c r="H180">
        <v>99999</v>
      </c>
      <c r="I180" t="s">
        <v>188</v>
      </c>
      <c r="J180" t="s">
        <v>228</v>
      </c>
      <c r="K180" t="s">
        <v>190</v>
      </c>
      <c r="L180" s="34">
        <v>41851</v>
      </c>
      <c r="M180" t="s">
        <v>191</v>
      </c>
      <c r="N180" t="s">
        <v>229</v>
      </c>
      <c r="O180" t="s">
        <v>225</v>
      </c>
      <c r="P180" t="s">
        <v>226</v>
      </c>
      <c r="Q180" t="s">
        <v>227</v>
      </c>
      <c r="R180">
        <v>99999</v>
      </c>
      <c r="S180" t="s">
        <v>188</v>
      </c>
      <c r="T180" t="s">
        <v>193</v>
      </c>
      <c r="U180" t="s">
        <v>194</v>
      </c>
      <c r="V180" t="s">
        <v>195</v>
      </c>
      <c r="W180">
        <v>14</v>
      </c>
      <c r="X180">
        <v>23</v>
      </c>
      <c r="Y180" s="36">
        <v>322</v>
      </c>
      <c r="Z180" s="35">
        <v>30.912000000000003</v>
      </c>
    </row>
    <row r="181" spans="1:26" x14ac:dyDescent="0.25">
      <c r="A181">
        <v>1201</v>
      </c>
      <c r="B181" s="34">
        <v>41826</v>
      </c>
      <c r="C181">
        <v>6</v>
      </c>
      <c r="D181" t="s">
        <v>240</v>
      </c>
      <c r="E181" t="s">
        <v>241</v>
      </c>
      <c r="F181" t="s">
        <v>242</v>
      </c>
      <c r="G181" t="s">
        <v>243</v>
      </c>
      <c r="H181">
        <v>99999</v>
      </c>
      <c r="I181" t="s">
        <v>188</v>
      </c>
      <c r="J181" t="s">
        <v>244</v>
      </c>
      <c r="K181" t="s">
        <v>219</v>
      </c>
      <c r="L181" s="34">
        <v>41828</v>
      </c>
      <c r="M181" t="s">
        <v>220</v>
      </c>
      <c r="N181" t="s">
        <v>245</v>
      </c>
      <c r="O181" t="s">
        <v>241</v>
      </c>
      <c r="P181" t="s">
        <v>242</v>
      </c>
      <c r="Q181" t="s">
        <v>243</v>
      </c>
      <c r="R181">
        <v>99999</v>
      </c>
      <c r="S181" t="s">
        <v>188</v>
      </c>
      <c r="T181" t="s">
        <v>193</v>
      </c>
      <c r="U181" t="s">
        <v>230</v>
      </c>
      <c r="V181" t="s">
        <v>231</v>
      </c>
      <c r="W181">
        <v>12.75</v>
      </c>
      <c r="X181">
        <v>76</v>
      </c>
      <c r="Y181" s="36">
        <v>969</v>
      </c>
      <c r="Z181" s="35">
        <v>97.869</v>
      </c>
    </row>
    <row r="182" spans="1:26" x14ac:dyDescent="0.25">
      <c r="A182">
        <v>1203</v>
      </c>
      <c r="B182" s="34">
        <v>41824</v>
      </c>
      <c r="C182">
        <v>4</v>
      </c>
      <c r="D182" t="s">
        <v>198</v>
      </c>
      <c r="E182" t="s">
        <v>199</v>
      </c>
      <c r="F182" t="s">
        <v>200</v>
      </c>
      <c r="G182" t="s">
        <v>201</v>
      </c>
      <c r="H182">
        <v>99999</v>
      </c>
      <c r="I182" t="s">
        <v>188</v>
      </c>
      <c r="J182" t="s">
        <v>202</v>
      </c>
      <c r="K182" t="s">
        <v>203</v>
      </c>
      <c r="L182" s="34">
        <v>41826</v>
      </c>
      <c r="M182" t="s">
        <v>204</v>
      </c>
      <c r="N182" t="s">
        <v>205</v>
      </c>
      <c r="O182" t="s">
        <v>199</v>
      </c>
      <c r="P182" t="s">
        <v>200</v>
      </c>
      <c r="Q182" t="s">
        <v>201</v>
      </c>
      <c r="R182">
        <v>99999</v>
      </c>
      <c r="S182" t="s">
        <v>188</v>
      </c>
      <c r="T182" t="s">
        <v>206</v>
      </c>
      <c r="U182" t="s">
        <v>307</v>
      </c>
      <c r="V182" t="s">
        <v>268</v>
      </c>
      <c r="W182">
        <v>81</v>
      </c>
      <c r="X182">
        <v>55</v>
      </c>
      <c r="Y182" s="36">
        <v>4455</v>
      </c>
      <c r="Z182" s="35">
        <v>445.5</v>
      </c>
    </row>
    <row r="183" spans="1:26" x14ac:dyDescent="0.25">
      <c r="A183">
        <v>1204</v>
      </c>
      <c r="B183" s="34">
        <v>41824</v>
      </c>
      <c r="C183">
        <v>4</v>
      </c>
      <c r="D183" t="s">
        <v>198</v>
      </c>
      <c r="E183" t="s">
        <v>199</v>
      </c>
      <c r="F183" t="s">
        <v>200</v>
      </c>
      <c r="G183" t="s">
        <v>201</v>
      </c>
      <c r="H183">
        <v>99999</v>
      </c>
      <c r="I183" t="s">
        <v>188</v>
      </c>
      <c r="J183" t="s">
        <v>202</v>
      </c>
      <c r="K183" t="s">
        <v>203</v>
      </c>
      <c r="L183" s="34">
        <v>41826</v>
      </c>
      <c r="M183" t="s">
        <v>204</v>
      </c>
      <c r="N183" t="s">
        <v>205</v>
      </c>
      <c r="O183" t="s">
        <v>199</v>
      </c>
      <c r="P183" t="s">
        <v>200</v>
      </c>
      <c r="Q183" t="s">
        <v>201</v>
      </c>
      <c r="R183">
        <v>99999</v>
      </c>
      <c r="S183" t="s">
        <v>188</v>
      </c>
      <c r="T183" t="s">
        <v>206</v>
      </c>
      <c r="U183" t="s">
        <v>308</v>
      </c>
      <c r="V183" t="s">
        <v>309</v>
      </c>
      <c r="W183">
        <v>7</v>
      </c>
      <c r="X183">
        <v>19</v>
      </c>
      <c r="Y183" s="36">
        <v>133</v>
      </c>
      <c r="Z183" s="35">
        <v>12.901</v>
      </c>
    </row>
    <row r="184" spans="1:26" x14ac:dyDescent="0.25">
      <c r="A184">
        <v>1206</v>
      </c>
      <c r="B184" s="34">
        <v>41828</v>
      </c>
      <c r="C184">
        <v>8</v>
      </c>
      <c r="D184" t="s">
        <v>214</v>
      </c>
      <c r="E184" t="s">
        <v>215</v>
      </c>
      <c r="F184" t="s">
        <v>216</v>
      </c>
      <c r="G184" t="s">
        <v>217</v>
      </c>
      <c r="H184">
        <v>99999</v>
      </c>
      <c r="I184" t="s">
        <v>188</v>
      </c>
      <c r="J184" t="s">
        <v>218</v>
      </c>
      <c r="K184" t="s">
        <v>219</v>
      </c>
      <c r="L184" s="34">
        <v>41830</v>
      </c>
      <c r="M184" t="s">
        <v>220</v>
      </c>
      <c r="N184" t="s">
        <v>221</v>
      </c>
      <c r="O184" t="s">
        <v>215</v>
      </c>
      <c r="P184" t="s">
        <v>216</v>
      </c>
      <c r="Q184" t="s">
        <v>217</v>
      </c>
      <c r="R184">
        <v>99999</v>
      </c>
      <c r="S184" t="s">
        <v>188</v>
      </c>
      <c r="T184" t="s">
        <v>206</v>
      </c>
      <c r="U184" t="s">
        <v>291</v>
      </c>
      <c r="V184" t="s">
        <v>292</v>
      </c>
      <c r="W184">
        <v>34.799999999999997</v>
      </c>
      <c r="X184">
        <v>27</v>
      </c>
      <c r="Y184" s="36">
        <v>939.59999999999991</v>
      </c>
      <c r="Z184" s="35">
        <v>89.261999999999986</v>
      </c>
    </row>
    <row r="185" spans="1:26" x14ac:dyDescent="0.25">
      <c r="A185">
        <v>1209</v>
      </c>
      <c r="B185" s="34">
        <v>41823</v>
      </c>
      <c r="C185">
        <v>3</v>
      </c>
      <c r="D185" t="s">
        <v>232</v>
      </c>
      <c r="E185" t="s">
        <v>233</v>
      </c>
      <c r="F185" t="s">
        <v>234</v>
      </c>
      <c r="G185" t="s">
        <v>235</v>
      </c>
      <c r="H185">
        <v>99999</v>
      </c>
      <c r="I185" t="s">
        <v>188</v>
      </c>
      <c r="J185" t="s">
        <v>189</v>
      </c>
      <c r="K185" t="s">
        <v>190</v>
      </c>
      <c r="L185" s="34">
        <v>41825</v>
      </c>
      <c r="M185" t="s">
        <v>191</v>
      </c>
      <c r="N185" t="s">
        <v>236</v>
      </c>
      <c r="O185" t="s">
        <v>233</v>
      </c>
      <c r="P185" t="s">
        <v>234</v>
      </c>
      <c r="Q185" t="s">
        <v>235</v>
      </c>
      <c r="R185">
        <v>99999</v>
      </c>
      <c r="S185" t="s">
        <v>188</v>
      </c>
      <c r="T185" t="s">
        <v>237</v>
      </c>
      <c r="U185" t="s">
        <v>293</v>
      </c>
      <c r="V185" t="s">
        <v>270</v>
      </c>
      <c r="W185">
        <v>10</v>
      </c>
      <c r="X185">
        <v>99</v>
      </c>
      <c r="Y185" s="36">
        <v>990</v>
      </c>
      <c r="Z185" s="35">
        <v>95.039999999999992</v>
      </c>
    </row>
    <row r="186" spans="1:26" x14ac:dyDescent="0.25">
      <c r="A186">
        <v>1210</v>
      </c>
      <c r="B186" s="34">
        <v>41823</v>
      </c>
      <c r="C186">
        <v>3</v>
      </c>
      <c r="D186" t="s">
        <v>232</v>
      </c>
      <c r="E186" t="s">
        <v>233</v>
      </c>
      <c r="F186" t="s">
        <v>234</v>
      </c>
      <c r="G186" t="s">
        <v>235</v>
      </c>
      <c r="H186">
        <v>99999</v>
      </c>
      <c r="I186" t="s">
        <v>188</v>
      </c>
      <c r="J186" t="s">
        <v>189</v>
      </c>
      <c r="K186" t="s">
        <v>190</v>
      </c>
      <c r="L186" s="34">
        <v>41825</v>
      </c>
      <c r="M186" t="s">
        <v>191</v>
      </c>
      <c r="N186" t="s">
        <v>236</v>
      </c>
      <c r="O186" t="s">
        <v>233</v>
      </c>
      <c r="P186" t="s">
        <v>234</v>
      </c>
      <c r="Q186" t="s">
        <v>235</v>
      </c>
      <c r="R186">
        <v>99999</v>
      </c>
      <c r="S186" t="s">
        <v>188</v>
      </c>
      <c r="T186" t="s">
        <v>237</v>
      </c>
      <c r="U186" t="s">
        <v>246</v>
      </c>
      <c r="V186" t="s">
        <v>247</v>
      </c>
      <c r="W186">
        <v>40</v>
      </c>
      <c r="X186">
        <v>10</v>
      </c>
      <c r="Y186" s="36">
        <v>400</v>
      </c>
      <c r="Z186" s="35">
        <v>40</v>
      </c>
    </row>
    <row r="187" spans="1:26" x14ac:dyDescent="0.25">
      <c r="A187">
        <v>1214</v>
      </c>
      <c r="B187" s="34">
        <v>41830</v>
      </c>
      <c r="C187">
        <v>10</v>
      </c>
      <c r="D187" t="s">
        <v>255</v>
      </c>
      <c r="E187" t="s">
        <v>256</v>
      </c>
      <c r="F187" t="s">
        <v>257</v>
      </c>
      <c r="G187" t="s">
        <v>258</v>
      </c>
      <c r="H187">
        <v>99999</v>
      </c>
      <c r="I187" t="s">
        <v>188</v>
      </c>
      <c r="J187" t="s">
        <v>259</v>
      </c>
      <c r="K187" t="s">
        <v>203</v>
      </c>
      <c r="L187" s="34">
        <v>41832</v>
      </c>
      <c r="M187" t="s">
        <v>191</v>
      </c>
      <c r="N187" t="s">
        <v>260</v>
      </c>
      <c r="O187" t="s">
        <v>256</v>
      </c>
      <c r="P187" t="s">
        <v>257</v>
      </c>
      <c r="Q187" t="s">
        <v>258</v>
      </c>
      <c r="R187">
        <v>99999</v>
      </c>
      <c r="S187" t="s">
        <v>188</v>
      </c>
      <c r="T187" t="s">
        <v>206</v>
      </c>
      <c r="U187" t="s">
        <v>294</v>
      </c>
      <c r="V187" t="s">
        <v>197</v>
      </c>
      <c r="W187">
        <v>10</v>
      </c>
      <c r="X187">
        <v>80</v>
      </c>
      <c r="Y187" s="36">
        <v>800</v>
      </c>
      <c r="Z187" s="35">
        <v>77.599999999999994</v>
      </c>
    </row>
    <row r="188" spans="1:26" x14ac:dyDescent="0.25">
      <c r="A188">
        <v>1216</v>
      </c>
      <c r="B188" s="34">
        <v>41830</v>
      </c>
      <c r="C188">
        <v>10</v>
      </c>
      <c r="D188" t="s">
        <v>255</v>
      </c>
      <c r="E188" t="s">
        <v>256</v>
      </c>
      <c r="F188" t="s">
        <v>257</v>
      </c>
      <c r="G188" t="s">
        <v>258</v>
      </c>
      <c r="H188">
        <v>99999</v>
      </c>
      <c r="I188" t="s">
        <v>188</v>
      </c>
      <c r="J188" t="s">
        <v>259</v>
      </c>
      <c r="K188" t="s">
        <v>203</v>
      </c>
      <c r="L188" s="34"/>
      <c r="M188" t="s">
        <v>204</v>
      </c>
      <c r="N188" t="s">
        <v>260</v>
      </c>
      <c r="O188" t="s">
        <v>256</v>
      </c>
      <c r="P188" t="s">
        <v>257</v>
      </c>
      <c r="Q188" t="s">
        <v>258</v>
      </c>
      <c r="R188">
        <v>99999</v>
      </c>
      <c r="S188" t="s">
        <v>188</v>
      </c>
      <c r="U188" t="s">
        <v>196</v>
      </c>
      <c r="V188" t="s">
        <v>197</v>
      </c>
      <c r="W188">
        <v>3.5</v>
      </c>
      <c r="X188">
        <v>27</v>
      </c>
      <c r="Y188" s="36">
        <v>94.5</v>
      </c>
      <c r="Z188" s="35">
        <v>9.072000000000001</v>
      </c>
    </row>
    <row r="189" spans="1:26" x14ac:dyDescent="0.25">
      <c r="A189">
        <v>1217</v>
      </c>
      <c r="B189" s="34">
        <v>41831</v>
      </c>
      <c r="C189">
        <v>11</v>
      </c>
      <c r="D189" t="s">
        <v>271</v>
      </c>
      <c r="E189" t="s">
        <v>272</v>
      </c>
      <c r="F189" t="s">
        <v>273</v>
      </c>
      <c r="G189" t="s">
        <v>274</v>
      </c>
      <c r="H189">
        <v>99999</v>
      </c>
      <c r="I189" t="s">
        <v>188</v>
      </c>
      <c r="J189" t="s">
        <v>252</v>
      </c>
      <c r="K189" t="s">
        <v>253</v>
      </c>
      <c r="M189" t="s">
        <v>220</v>
      </c>
      <c r="N189" t="s">
        <v>275</v>
      </c>
      <c r="O189" t="s">
        <v>272</v>
      </c>
      <c r="P189" t="s">
        <v>273</v>
      </c>
      <c r="Q189" t="s">
        <v>274</v>
      </c>
      <c r="R189">
        <v>99999</v>
      </c>
      <c r="S189" t="s">
        <v>188</v>
      </c>
      <c r="U189" t="s">
        <v>246</v>
      </c>
      <c r="V189" t="s">
        <v>247</v>
      </c>
      <c r="W189">
        <v>40</v>
      </c>
      <c r="X189">
        <v>97</v>
      </c>
      <c r="Y189" s="36">
        <v>3880</v>
      </c>
      <c r="Z189" s="35">
        <v>380.24</v>
      </c>
    </row>
    <row r="190" spans="1:26" x14ac:dyDescent="0.25">
      <c r="A190">
        <v>1218</v>
      </c>
      <c r="B190" s="34">
        <v>41821</v>
      </c>
      <c r="C190">
        <v>1</v>
      </c>
      <c r="D190" t="s">
        <v>276</v>
      </c>
      <c r="E190" t="s">
        <v>277</v>
      </c>
      <c r="F190" t="s">
        <v>278</v>
      </c>
      <c r="G190" t="s">
        <v>279</v>
      </c>
      <c r="H190">
        <v>99999</v>
      </c>
      <c r="I190" t="s">
        <v>188</v>
      </c>
      <c r="J190" t="s">
        <v>218</v>
      </c>
      <c r="K190" t="s">
        <v>219</v>
      </c>
      <c r="M190" t="s">
        <v>220</v>
      </c>
      <c r="N190" t="s">
        <v>280</v>
      </c>
      <c r="O190" t="s">
        <v>277</v>
      </c>
      <c r="P190" t="s">
        <v>278</v>
      </c>
      <c r="Q190" t="s">
        <v>279</v>
      </c>
      <c r="R190">
        <v>99999</v>
      </c>
      <c r="S190" t="s">
        <v>188</v>
      </c>
      <c r="U190" t="s">
        <v>281</v>
      </c>
      <c r="V190" t="s">
        <v>282</v>
      </c>
      <c r="W190">
        <v>18.399999999999999</v>
      </c>
      <c r="X190">
        <v>42</v>
      </c>
      <c r="Y190" s="36">
        <v>772.8</v>
      </c>
      <c r="Z190" s="35">
        <v>80.371200000000002</v>
      </c>
    </row>
    <row r="191" spans="1:26" x14ac:dyDescent="0.25">
      <c r="A191">
        <v>1219</v>
      </c>
      <c r="B191" s="34">
        <v>41848</v>
      </c>
      <c r="C191">
        <v>28</v>
      </c>
      <c r="D191" t="s">
        <v>248</v>
      </c>
      <c r="E191" t="s">
        <v>249</v>
      </c>
      <c r="F191" t="s">
        <v>250</v>
      </c>
      <c r="G191" t="s">
        <v>251</v>
      </c>
      <c r="H191">
        <v>99999</v>
      </c>
      <c r="I191" t="s">
        <v>188</v>
      </c>
      <c r="J191" t="s">
        <v>252</v>
      </c>
      <c r="K191" t="s">
        <v>253</v>
      </c>
      <c r="L191">
        <v>41850</v>
      </c>
      <c r="M191" t="s">
        <v>220</v>
      </c>
      <c r="N191" t="s">
        <v>254</v>
      </c>
      <c r="O191" t="s">
        <v>249</v>
      </c>
      <c r="P191" t="s">
        <v>250</v>
      </c>
      <c r="Q191" t="s">
        <v>251</v>
      </c>
      <c r="R191">
        <v>99999</v>
      </c>
      <c r="S191" t="s">
        <v>188</v>
      </c>
      <c r="T191" t="s">
        <v>206</v>
      </c>
      <c r="U191" t="s">
        <v>213</v>
      </c>
      <c r="V191" t="s">
        <v>195</v>
      </c>
      <c r="W191" s="35">
        <v>46</v>
      </c>
      <c r="X191">
        <v>24</v>
      </c>
      <c r="Y191" s="36">
        <v>1104</v>
      </c>
      <c r="Z191" s="35">
        <v>105.98399999999999</v>
      </c>
    </row>
    <row r="192" spans="1:26" x14ac:dyDescent="0.25">
      <c r="A192">
        <v>1220</v>
      </c>
      <c r="B192" s="34">
        <v>41829</v>
      </c>
      <c r="C192">
        <v>9</v>
      </c>
      <c r="D192" t="s">
        <v>283</v>
      </c>
      <c r="E192" t="s">
        <v>284</v>
      </c>
      <c r="F192" t="s">
        <v>285</v>
      </c>
      <c r="G192" t="s">
        <v>286</v>
      </c>
      <c r="H192">
        <v>99999</v>
      </c>
      <c r="I192" t="s">
        <v>188</v>
      </c>
      <c r="J192" t="s">
        <v>287</v>
      </c>
      <c r="K192" t="s">
        <v>190</v>
      </c>
      <c r="L192" s="34">
        <v>41831</v>
      </c>
      <c r="M192" t="s">
        <v>204</v>
      </c>
      <c r="N192" t="s">
        <v>288</v>
      </c>
      <c r="O192" t="s">
        <v>284</v>
      </c>
      <c r="P192" t="s">
        <v>285</v>
      </c>
      <c r="Q192" t="s">
        <v>286</v>
      </c>
      <c r="R192">
        <v>99999</v>
      </c>
      <c r="S192" t="s">
        <v>188</v>
      </c>
      <c r="T192" t="s">
        <v>193</v>
      </c>
      <c r="U192" t="s">
        <v>238</v>
      </c>
      <c r="V192" t="s">
        <v>239</v>
      </c>
      <c r="W192" s="35">
        <v>9.65</v>
      </c>
      <c r="X192">
        <v>90</v>
      </c>
      <c r="Y192" s="36">
        <v>868.5</v>
      </c>
      <c r="Z192" s="35">
        <v>83.376000000000005</v>
      </c>
    </row>
    <row r="193" spans="1:26" x14ac:dyDescent="0.25">
      <c r="A193">
        <v>1221</v>
      </c>
      <c r="B193" s="34">
        <v>41826</v>
      </c>
      <c r="C193">
        <v>6</v>
      </c>
      <c r="D193" t="s">
        <v>240</v>
      </c>
      <c r="E193" t="s">
        <v>241</v>
      </c>
      <c r="F193" t="s">
        <v>242</v>
      </c>
      <c r="G193" t="s">
        <v>243</v>
      </c>
      <c r="H193">
        <v>99999</v>
      </c>
      <c r="I193" t="s">
        <v>188</v>
      </c>
      <c r="J193" t="s">
        <v>244</v>
      </c>
      <c r="K193" t="s">
        <v>219</v>
      </c>
      <c r="L193" s="34">
        <v>41828</v>
      </c>
      <c r="M193" t="s">
        <v>191</v>
      </c>
      <c r="N193" t="s">
        <v>245</v>
      </c>
      <c r="O193" t="s">
        <v>241</v>
      </c>
      <c r="P193" t="s">
        <v>242</v>
      </c>
      <c r="Q193" t="s">
        <v>243</v>
      </c>
      <c r="R193">
        <v>99999</v>
      </c>
      <c r="S193" t="s">
        <v>188</v>
      </c>
      <c r="T193" t="s">
        <v>206</v>
      </c>
      <c r="U193" t="s">
        <v>230</v>
      </c>
      <c r="V193" t="s">
        <v>231</v>
      </c>
      <c r="W193" s="35">
        <v>12.75</v>
      </c>
      <c r="X193">
        <v>28</v>
      </c>
      <c r="Y193" s="36">
        <v>357</v>
      </c>
      <c r="Z193" s="35">
        <v>35.700000000000003</v>
      </c>
    </row>
    <row r="194" spans="1:26" x14ac:dyDescent="0.25">
      <c r="A194">
        <v>1222</v>
      </c>
      <c r="B194" s="34">
        <v>41879</v>
      </c>
      <c r="C194">
        <v>28</v>
      </c>
      <c r="D194" t="s">
        <v>248</v>
      </c>
      <c r="E194" t="s">
        <v>249</v>
      </c>
      <c r="F194" t="s">
        <v>250</v>
      </c>
      <c r="G194" t="s">
        <v>251</v>
      </c>
      <c r="H194">
        <v>99999</v>
      </c>
      <c r="I194" t="s">
        <v>188</v>
      </c>
      <c r="J194" t="s">
        <v>252</v>
      </c>
      <c r="K194" t="s">
        <v>253</v>
      </c>
      <c r="L194" s="34">
        <v>41881</v>
      </c>
      <c r="M194" t="s">
        <v>220</v>
      </c>
      <c r="N194" t="s">
        <v>254</v>
      </c>
      <c r="O194" t="s">
        <v>249</v>
      </c>
      <c r="P194" t="s">
        <v>250</v>
      </c>
      <c r="Q194" t="s">
        <v>251</v>
      </c>
      <c r="R194">
        <v>99999</v>
      </c>
      <c r="S194" t="s">
        <v>188</v>
      </c>
      <c r="T194" t="s">
        <v>193</v>
      </c>
      <c r="U194" t="s">
        <v>213</v>
      </c>
      <c r="V194" t="s">
        <v>195</v>
      </c>
      <c r="W194" s="35">
        <v>46</v>
      </c>
      <c r="X194">
        <v>28</v>
      </c>
      <c r="Y194" s="36">
        <v>1288</v>
      </c>
      <c r="Z194" s="35">
        <v>133.95200000000003</v>
      </c>
    </row>
    <row r="195" spans="1:26" x14ac:dyDescent="0.25">
      <c r="A195">
        <v>1223</v>
      </c>
      <c r="B195" s="34">
        <v>41859</v>
      </c>
      <c r="C195">
        <v>8</v>
      </c>
      <c r="D195" t="s">
        <v>214</v>
      </c>
      <c r="E195" t="s">
        <v>215</v>
      </c>
      <c r="F195" t="s">
        <v>216</v>
      </c>
      <c r="G195" t="s">
        <v>217</v>
      </c>
      <c r="H195">
        <v>99999</v>
      </c>
      <c r="I195" t="s">
        <v>188</v>
      </c>
      <c r="J195" t="s">
        <v>218</v>
      </c>
      <c r="K195" t="s">
        <v>219</v>
      </c>
      <c r="L195" s="34">
        <v>41861</v>
      </c>
      <c r="M195" t="s">
        <v>220</v>
      </c>
      <c r="N195" t="s">
        <v>221</v>
      </c>
      <c r="O195" t="s">
        <v>215</v>
      </c>
      <c r="P195" t="s">
        <v>216</v>
      </c>
      <c r="Q195" t="s">
        <v>217</v>
      </c>
      <c r="R195">
        <v>99999</v>
      </c>
      <c r="S195" t="s">
        <v>188</v>
      </c>
      <c r="T195" t="s">
        <v>193</v>
      </c>
      <c r="U195" t="s">
        <v>230</v>
      </c>
      <c r="V195" t="s">
        <v>231</v>
      </c>
      <c r="W195" s="35">
        <v>12.75</v>
      </c>
      <c r="X195">
        <v>57</v>
      </c>
      <c r="Y195" s="36">
        <v>726.75</v>
      </c>
      <c r="Z195" s="35">
        <v>69.768000000000001</v>
      </c>
    </row>
    <row r="196" spans="1:26" x14ac:dyDescent="0.25">
      <c r="A196">
        <v>1224</v>
      </c>
      <c r="B196" s="34">
        <v>41861</v>
      </c>
      <c r="C196">
        <v>10</v>
      </c>
      <c r="D196" t="s">
        <v>255</v>
      </c>
      <c r="E196" t="s">
        <v>256</v>
      </c>
      <c r="F196" t="s">
        <v>257</v>
      </c>
      <c r="G196" t="s">
        <v>258</v>
      </c>
      <c r="H196">
        <v>99999</v>
      </c>
      <c r="I196" t="s">
        <v>188</v>
      </c>
      <c r="J196" t="s">
        <v>259</v>
      </c>
      <c r="K196" t="s">
        <v>203</v>
      </c>
      <c r="L196" s="34">
        <v>41863</v>
      </c>
      <c r="M196" t="s">
        <v>191</v>
      </c>
      <c r="N196" t="s">
        <v>260</v>
      </c>
      <c r="O196" t="s">
        <v>256</v>
      </c>
      <c r="P196" t="s">
        <v>257</v>
      </c>
      <c r="Q196" t="s">
        <v>258</v>
      </c>
      <c r="R196">
        <v>99999</v>
      </c>
      <c r="S196" t="s">
        <v>188</v>
      </c>
      <c r="T196" t="s">
        <v>206</v>
      </c>
      <c r="U196" t="s">
        <v>261</v>
      </c>
      <c r="V196" t="s">
        <v>195</v>
      </c>
      <c r="W196" s="35">
        <v>2.99</v>
      </c>
      <c r="X196">
        <v>23</v>
      </c>
      <c r="Y196" s="36">
        <v>68.77000000000001</v>
      </c>
      <c r="Z196" s="35">
        <v>6.6706900000000013</v>
      </c>
    </row>
    <row r="197" spans="1:26" x14ac:dyDescent="0.25">
      <c r="A197">
        <v>1225</v>
      </c>
      <c r="B197" s="34">
        <v>41858</v>
      </c>
      <c r="C197">
        <v>7</v>
      </c>
      <c r="D197" t="s">
        <v>262</v>
      </c>
      <c r="E197" t="s">
        <v>263</v>
      </c>
      <c r="F197" t="s">
        <v>264</v>
      </c>
      <c r="G197" t="s">
        <v>265</v>
      </c>
      <c r="H197">
        <v>99999</v>
      </c>
      <c r="I197" t="s">
        <v>188</v>
      </c>
      <c r="J197" t="s">
        <v>218</v>
      </c>
      <c r="K197" t="s">
        <v>219</v>
      </c>
      <c r="L197" s="34"/>
      <c r="N197" t="s">
        <v>266</v>
      </c>
      <c r="O197" t="s">
        <v>263</v>
      </c>
      <c r="P197" t="s">
        <v>264</v>
      </c>
      <c r="Q197" t="s">
        <v>265</v>
      </c>
      <c r="R197">
        <v>99999</v>
      </c>
      <c r="S197" t="s">
        <v>188</v>
      </c>
      <c r="U197" t="s">
        <v>213</v>
      </c>
      <c r="V197" t="s">
        <v>195</v>
      </c>
      <c r="W197" s="35">
        <v>46</v>
      </c>
      <c r="X197">
        <v>86</v>
      </c>
      <c r="Y197" s="36">
        <v>3956</v>
      </c>
      <c r="Z197" s="35">
        <v>399.55600000000004</v>
      </c>
    </row>
    <row r="198" spans="1:26" x14ac:dyDescent="0.25">
      <c r="A198">
        <v>1226</v>
      </c>
      <c r="B198" s="34">
        <v>41861</v>
      </c>
      <c r="C198">
        <v>10</v>
      </c>
      <c r="D198" t="s">
        <v>255</v>
      </c>
      <c r="E198" t="s">
        <v>256</v>
      </c>
      <c r="F198" t="s">
        <v>257</v>
      </c>
      <c r="G198" t="s">
        <v>258</v>
      </c>
      <c r="H198">
        <v>99999</v>
      </c>
      <c r="I198" t="s">
        <v>188</v>
      </c>
      <c r="J198" t="s">
        <v>259</v>
      </c>
      <c r="K198" t="s">
        <v>203</v>
      </c>
      <c r="L198" s="34">
        <v>41863</v>
      </c>
      <c r="M198" t="s">
        <v>204</v>
      </c>
      <c r="N198" t="s">
        <v>260</v>
      </c>
      <c r="O198" t="s">
        <v>256</v>
      </c>
      <c r="P198" t="s">
        <v>257</v>
      </c>
      <c r="Q198" t="s">
        <v>258</v>
      </c>
      <c r="R198">
        <v>99999</v>
      </c>
      <c r="S198" t="s">
        <v>188</v>
      </c>
      <c r="U198" t="s">
        <v>267</v>
      </c>
      <c r="V198" t="s">
        <v>268</v>
      </c>
      <c r="W198" s="35">
        <v>25</v>
      </c>
      <c r="X198">
        <v>47</v>
      </c>
      <c r="Y198" s="36">
        <v>1175</v>
      </c>
      <c r="Z198" s="35">
        <v>116.325</v>
      </c>
    </row>
    <row r="199" spans="1:26" x14ac:dyDescent="0.25">
      <c r="A199">
        <v>1227</v>
      </c>
      <c r="B199" s="34">
        <v>41861</v>
      </c>
      <c r="C199">
        <v>10</v>
      </c>
      <c r="D199" t="s">
        <v>255</v>
      </c>
      <c r="E199" t="s">
        <v>256</v>
      </c>
      <c r="F199" t="s">
        <v>257</v>
      </c>
      <c r="G199" t="s">
        <v>258</v>
      </c>
      <c r="H199">
        <v>99999</v>
      </c>
      <c r="I199" t="s">
        <v>188</v>
      </c>
      <c r="J199" t="s">
        <v>259</v>
      </c>
      <c r="K199" t="s">
        <v>203</v>
      </c>
      <c r="L199" s="34">
        <v>41863</v>
      </c>
      <c r="M199" t="s">
        <v>204</v>
      </c>
      <c r="N199" t="s">
        <v>260</v>
      </c>
      <c r="O199" t="s">
        <v>256</v>
      </c>
      <c r="P199" t="s">
        <v>257</v>
      </c>
      <c r="Q199" t="s">
        <v>258</v>
      </c>
      <c r="R199">
        <v>99999</v>
      </c>
      <c r="S199" t="s">
        <v>188</v>
      </c>
      <c r="U199" t="s">
        <v>269</v>
      </c>
      <c r="V199" t="s">
        <v>270</v>
      </c>
      <c r="W199" s="35">
        <v>22</v>
      </c>
      <c r="X199">
        <v>97</v>
      </c>
      <c r="Y199" s="36">
        <v>2134</v>
      </c>
      <c r="Z199" s="35">
        <v>221.93600000000001</v>
      </c>
    </row>
    <row r="200" spans="1:26" x14ac:dyDescent="0.25">
      <c r="A200">
        <v>1228</v>
      </c>
      <c r="B200" s="34">
        <v>41861</v>
      </c>
      <c r="C200">
        <v>10</v>
      </c>
      <c r="D200" t="s">
        <v>255</v>
      </c>
      <c r="E200" t="s">
        <v>256</v>
      </c>
      <c r="F200" t="s">
        <v>257</v>
      </c>
      <c r="G200" t="s">
        <v>258</v>
      </c>
      <c r="H200">
        <v>99999</v>
      </c>
      <c r="I200" t="s">
        <v>188</v>
      </c>
      <c r="J200" t="s">
        <v>259</v>
      </c>
      <c r="K200" t="s">
        <v>203</v>
      </c>
      <c r="L200" s="34">
        <v>41863</v>
      </c>
      <c r="M200" t="s">
        <v>204</v>
      </c>
      <c r="N200" t="s">
        <v>260</v>
      </c>
      <c r="O200" t="s">
        <v>256</v>
      </c>
      <c r="P200" t="s">
        <v>257</v>
      </c>
      <c r="Q200" t="s">
        <v>258</v>
      </c>
      <c r="R200">
        <v>99999</v>
      </c>
      <c r="S200" t="s">
        <v>188</v>
      </c>
      <c r="U200" t="s">
        <v>222</v>
      </c>
      <c r="V200" t="s">
        <v>223</v>
      </c>
      <c r="W200" s="35">
        <v>9.1999999999999993</v>
      </c>
      <c r="X200">
        <v>96</v>
      </c>
      <c r="Y200" s="36">
        <v>883.19999999999993</v>
      </c>
      <c r="Z200" s="35">
        <v>86.553599999999989</v>
      </c>
    </row>
    <row r="201" spans="1:26" x14ac:dyDescent="0.25">
      <c r="A201">
        <v>1229</v>
      </c>
      <c r="B201" s="34">
        <v>41862</v>
      </c>
      <c r="C201">
        <v>11</v>
      </c>
      <c r="D201" t="s">
        <v>271</v>
      </c>
      <c r="E201" t="s">
        <v>272</v>
      </c>
      <c r="F201" t="s">
        <v>273</v>
      </c>
      <c r="G201" t="s">
        <v>274</v>
      </c>
      <c r="H201">
        <v>99999</v>
      </c>
      <c r="I201" t="s">
        <v>188</v>
      </c>
      <c r="J201" t="s">
        <v>252</v>
      </c>
      <c r="K201" t="s">
        <v>253</v>
      </c>
      <c r="L201" s="34"/>
      <c r="M201" t="s">
        <v>220</v>
      </c>
      <c r="N201" t="s">
        <v>275</v>
      </c>
      <c r="O201" t="s">
        <v>272</v>
      </c>
      <c r="P201" t="s">
        <v>273</v>
      </c>
      <c r="Q201" t="s">
        <v>274</v>
      </c>
      <c r="R201">
        <v>99999</v>
      </c>
      <c r="S201" t="s">
        <v>188</v>
      </c>
      <c r="U201" t="s">
        <v>196</v>
      </c>
      <c r="V201" t="s">
        <v>197</v>
      </c>
      <c r="W201" s="35">
        <v>3.5</v>
      </c>
      <c r="X201">
        <v>31</v>
      </c>
      <c r="Y201" s="36">
        <v>108.5</v>
      </c>
      <c r="Z201" s="35">
        <v>10.850000000000001</v>
      </c>
    </row>
    <row r="202" spans="1:26" x14ac:dyDescent="0.25">
      <c r="A202">
        <v>1230</v>
      </c>
      <c r="B202" s="34">
        <v>41862</v>
      </c>
      <c r="C202">
        <v>11</v>
      </c>
      <c r="D202" t="s">
        <v>271</v>
      </c>
      <c r="E202" t="s">
        <v>272</v>
      </c>
      <c r="F202" t="s">
        <v>273</v>
      </c>
      <c r="G202" t="s">
        <v>274</v>
      </c>
      <c r="H202">
        <v>99999</v>
      </c>
      <c r="I202" t="s">
        <v>188</v>
      </c>
      <c r="J202" t="s">
        <v>252</v>
      </c>
      <c r="K202" t="s">
        <v>253</v>
      </c>
      <c r="L202" s="34"/>
      <c r="M202" t="s">
        <v>220</v>
      </c>
      <c r="N202" t="s">
        <v>275</v>
      </c>
      <c r="O202" t="s">
        <v>272</v>
      </c>
      <c r="P202" t="s">
        <v>273</v>
      </c>
      <c r="Q202" t="s">
        <v>274</v>
      </c>
      <c r="R202">
        <v>99999</v>
      </c>
      <c r="S202" t="s">
        <v>188</v>
      </c>
      <c r="U202" t="s">
        <v>261</v>
      </c>
      <c r="V202" t="s">
        <v>195</v>
      </c>
      <c r="W202" s="35">
        <v>2.99</v>
      </c>
      <c r="X202">
        <v>52</v>
      </c>
      <c r="Y202" s="36">
        <v>155.48000000000002</v>
      </c>
      <c r="Z202" s="35">
        <v>16.014440000000004</v>
      </c>
    </row>
    <row r="203" spans="1:26" x14ac:dyDescent="0.25">
      <c r="A203">
        <v>1231</v>
      </c>
      <c r="B203" s="34">
        <v>41852</v>
      </c>
      <c r="C203">
        <v>1</v>
      </c>
      <c r="D203" t="s">
        <v>276</v>
      </c>
      <c r="E203" t="s">
        <v>277</v>
      </c>
      <c r="F203" t="s">
        <v>278</v>
      </c>
      <c r="G203" t="s">
        <v>279</v>
      </c>
      <c r="H203">
        <v>99999</v>
      </c>
      <c r="I203" t="s">
        <v>188</v>
      </c>
      <c r="J203" t="s">
        <v>218</v>
      </c>
      <c r="K203" t="s">
        <v>219</v>
      </c>
      <c r="L203" s="34"/>
      <c r="N203" t="s">
        <v>280</v>
      </c>
      <c r="O203" t="s">
        <v>277</v>
      </c>
      <c r="P203" t="s">
        <v>278</v>
      </c>
      <c r="Q203" t="s">
        <v>279</v>
      </c>
      <c r="R203">
        <v>99999</v>
      </c>
      <c r="S203" t="s">
        <v>188</v>
      </c>
      <c r="U203" t="s">
        <v>212</v>
      </c>
      <c r="V203" t="s">
        <v>195</v>
      </c>
      <c r="W203" s="35">
        <v>18</v>
      </c>
      <c r="X203">
        <v>91</v>
      </c>
      <c r="Y203" s="36">
        <v>1638</v>
      </c>
      <c r="Z203" s="35">
        <v>158.886</v>
      </c>
    </row>
    <row r="204" spans="1:26" x14ac:dyDescent="0.25">
      <c r="A204">
        <v>1232</v>
      </c>
      <c r="B204" s="34">
        <v>41852</v>
      </c>
      <c r="C204">
        <v>1</v>
      </c>
      <c r="D204" t="s">
        <v>276</v>
      </c>
      <c r="E204" t="s">
        <v>277</v>
      </c>
      <c r="F204" t="s">
        <v>278</v>
      </c>
      <c r="G204" t="s">
        <v>279</v>
      </c>
      <c r="H204">
        <v>99999</v>
      </c>
      <c r="I204" t="s">
        <v>188</v>
      </c>
      <c r="J204" t="s">
        <v>218</v>
      </c>
      <c r="K204" t="s">
        <v>219</v>
      </c>
      <c r="L204" s="34"/>
      <c r="N204" t="s">
        <v>280</v>
      </c>
      <c r="O204" t="s">
        <v>277</v>
      </c>
      <c r="P204" t="s">
        <v>278</v>
      </c>
      <c r="Q204" t="s">
        <v>279</v>
      </c>
      <c r="R204">
        <v>99999</v>
      </c>
      <c r="S204" t="s">
        <v>188</v>
      </c>
      <c r="U204" t="s">
        <v>213</v>
      </c>
      <c r="V204" t="s">
        <v>195</v>
      </c>
      <c r="W204" s="35">
        <v>46</v>
      </c>
      <c r="X204">
        <v>14</v>
      </c>
      <c r="Y204" s="36">
        <v>644</v>
      </c>
      <c r="Z204" s="35">
        <v>63.756000000000007</v>
      </c>
    </row>
    <row r="205" spans="1:26" x14ac:dyDescent="0.25">
      <c r="A205">
        <v>1233</v>
      </c>
      <c r="B205" s="34">
        <v>41852</v>
      </c>
      <c r="C205">
        <v>1</v>
      </c>
      <c r="D205" t="s">
        <v>276</v>
      </c>
      <c r="E205" t="s">
        <v>277</v>
      </c>
      <c r="F205" t="s">
        <v>278</v>
      </c>
      <c r="G205" t="s">
        <v>279</v>
      </c>
      <c r="H205">
        <v>99999</v>
      </c>
      <c r="I205" t="s">
        <v>188</v>
      </c>
      <c r="J205" t="s">
        <v>218</v>
      </c>
      <c r="K205" t="s">
        <v>219</v>
      </c>
      <c r="L205" s="34"/>
      <c r="N205" t="s">
        <v>280</v>
      </c>
      <c r="O205" t="s">
        <v>277</v>
      </c>
      <c r="P205" t="s">
        <v>278</v>
      </c>
      <c r="Q205" t="s">
        <v>279</v>
      </c>
      <c r="R205">
        <v>99999</v>
      </c>
      <c r="S205" t="s">
        <v>188</v>
      </c>
      <c r="U205" t="s">
        <v>261</v>
      </c>
      <c r="V205" t="s">
        <v>195</v>
      </c>
      <c r="W205">
        <v>2.99</v>
      </c>
      <c r="X205">
        <v>44</v>
      </c>
      <c r="Y205" s="36">
        <v>131.56</v>
      </c>
      <c r="Z205" s="35">
        <v>13.287560000000001</v>
      </c>
    </row>
    <row r="206" spans="1:26" x14ac:dyDescent="0.25">
      <c r="A206">
        <v>1234</v>
      </c>
      <c r="B206" s="34">
        <v>41879</v>
      </c>
      <c r="C206">
        <v>28</v>
      </c>
      <c r="D206" t="s">
        <v>248</v>
      </c>
      <c r="E206" t="s">
        <v>249</v>
      </c>
      <c r="F206" t="s">
        <v>250</v>
      </c>
      <c r="G206" t="s">
        <v>251</v>
      </c>
      <c r="H206">
        <v>99999</v>
      </c>
      <c r="I206" t="s">
        <v>188</v>
      </c>
      <c r="J206" t="s">
        <v>252</v>
      </c>
      <c r="K206" t="s">
        <v>253</v>
      </c>
      <c r="L206" s="34">
        <v>41881</v>
      </c>
      <c r="M206" t="s">
        <v>220</v>
      </c>
      <c r="N206" t="s">
        <v>254</v>
      </c>
      <c r="O206" t="s">
        <v>249</v>
      </c>
      <c r="P206" t="s">
        <v>250</v>
      </c>
      <c r="Q206" t="s">
        <v>251</v>
      </c>
      <c r="R206">
        <v>99999</v>
      </c>
      <c r="S206" t="s">
        <v>188</v>
      </c>
      <c r="T206" t="s">
        <v>206</v>
      </c>
      <c r="U206" t="s">
        <v>238</v>
      </c>
      <c r="V206" t="s">
        <v>239</v>
      </c>
      <c r="W206">
        <v>9.65</v>
      </c>
      <c r="X206">
        <v>97</v>
      </c>
      <c r="Y206" s="36">
        <v>936.05000000000007</v>
      </c>
      <c r="Z206" s="35">
        <v>95.477100000000021</v>
      </c>
    </row>
    <row r="207" spans="1:26" x14ac:dyDescent="0.25">
      <c r="A207">
        <v>1235</v>
      </c>
      <c r="B207" s="34">
        <v>41879</v>
      </c>
      <c r="C207">
        <v>28</v>
      </c>
      <c r="D207" t="s">
        <v>248</v>
      </c>
      <c r="E207" t="s">
        <v>249</v>
      </c>
      <c r="F207" t="s">
        <v>250</v>
      </c>
      <c r="G207" t="s">
        <v>251</v>
      </c>
      <c r="H207">
        <v>99999</v>
      </c>
      <c r="I207" t="s">
        <v>188</v>
      </c>
      <c r="J207" t="s">
        <v>252</v>
      </c>
      <c r="K207" t="s">
        <v>253</v>
      </c>
      <c r="L207" s="34">
        <v>41881</v>
      </c>
      <c r="M207" t="s">
        <v>220</v>
      </c>
      <c r="N207" t="s">
        <v>254</v>
      </c>
      <c r="O207" t="s">
        <v>249</v>
      </c>
      <c r="P207" t="s">
        <v>250</v>
      </c>
      <c r="Q207" t="s">
        <v>251</v>
      </c>
      <c r="R207">
        <v>99999</v>
      </c>
      <c r="S207" t="s">
        <v>188</v>
      </c>
      <c r="T207" t="s">
        <v>206</v>
      </c>
      <c r="U207" t="s">
        <v>281</v>
      </c>
      <c r="V207" t="s">
        <v>282</v>
      </c>
      <c r="W207">
        <v>18.399999999999999</v>
      </c>
      <c r="X207">
        <v>80</v>
      </c>
      <c r="Y207" s="36">
        <v>1472</v>
      </c>
      <c r="Z207" s="35">
        <v>150.14400000000003</v>
      </c>
    </row>
    <row r="208" spans="1:26" x14ac:dyDescent="0.25">
      <c r="A208">
        <v>1236</v>
      </c>
      <c r="B208" s="34">
        <v>41860</v>
      </c>
      <c r="C208">
        <v>9</v>
      </c>
      <c r="D208" t="s">
        <v>283</v>
      </c>
      <c r="E208" t="s">
        <v>284</v>
      </c>
      <c r="F208" t="s">
        <v>285</v>
      </c>
      <c r="G208" t="s">
        <v>286</v>
      </c>
      <c r="H208">
        <v>99999</v>
      </c>
      <c r="I208" t="s">
        <v>188</v>
      </c>
      <c r="J208" t="s">
        <v>287</v>
      </c>
      <c r="K208" t="s">
        <v>190</v>
      </c>
      <c r="L208" s="34">
        <v>41862</v>
      </c>
      <c r="M208" t="s">
        <v>204</v>
      </c>
      <c r="N208" t="s">
        <v>288</v>
      </c>
      <c r="O208" t="s">
        <v>284</v>
      </c>
      <c r="P208" t="s">
        <v>285</v>
      </c>
      <c r="Q208" t="s">
        <v>286</v>
      </c>
      <c r="R208">
        <v>99999</v>
      </c>
      <c r="S208" t="s">
        <v>188</v>
      </c>
      <c r="T208" t="s">
        <v>193</v>
      </c>
      <c r="U208" t="s">
        <v>289</v>
      </c>
      <c r="V208" t="s">
        <v>290</v>
      </c>
      <c r="W208">
        <v>19.5</v>
      </c>
      <c r="X208">
        <v>66</v>
      </c>
      <c r="Y208" s="36">
        <v>1287</v>
      </c>
      <c r="Z208" s="35">
        <v>132.56100000000001</v>
      </c>
    </row>
    <row r="209" spans="1:26" x14ac:dyDescent="0.25">
      <c r="A209">
        <v>1237</v>
      </c>
      <c r="B209" s="34">
        <v>41860</v>
      </c>
      <c r="C209">
        <v>9</v>
      </c>
      <c r="D209" t="s">
        <v>283</v>
      </c>
      <c r="E209" t="s">
        <v>284</v>
      </c>
      <c r="F209" t="s">
        <v>285</v>
      </c>
      <c r="G209" t="s">
        <v>286</v>
      </c>
      <c r="H209">
        <v>99999</v>
      </c>
      <c r="I209" t="s">
        <v>188</v>
      </c>
      <c r="J209" t="s">
        <v>287</v>
      </c>
      <c r="K209" t="s">
        <v>190</v>
      </c>
      <c r="L209" s="34">
        <v>41862</v>
      </c>
      <c r="M209" t="s">
        <v>204</v>
      </c>
      <c r="N209" t="s">
        <v>288</v>
      </c>
      <c r="O209" t="s">
        <v>284</v>
      </c>
      <c r="P209" t="s">
        <v>285</v>
      </c>
      <c r="Q209" t="s">
        <v>286</v>
      </c>
      <c r="R209">
        <v>99999</v>
      </c>
      <c r="S209" t="s">
        <v>188</v>
      </c>
      <c r="T209" t="s">
        <v>193</v>
      </c>
      <c r="U209" t="s">
        <v>291</v>
      </c>
      <c r="V209" t="s">
        <v>292</v>
      </c>
      <c r="W209">
        <v>34.799999999999997</v>
      </c>
      <c r="X209">
        <v>32</v>
      </c>
      <c r="Y209" s="36">
        <v>1113.5999999999999</v>
      </c>
      <c r="Z209" s="35">
        <v>111.36</v>
      </c>
    </row>
    <row r="210" spans="1:26" x14ac:dyDescent="0.25">
      <c r="A210">
        <v>1238</v>
      </c>
      <c r="B210" s="34">
        <v>41857</v>
      </c>
      <c r="C210">
        <v>6</v>
      </c>
      <c r="D210" t="s">
        <v>240</v>
      </c>
      <c r="E210" t="s">
        <v>241</v>
      </c>
      <c r="F210" t="s">
        <v>242</v>
      </c>
      <c r="G210" t="s">
        <v>243</v>
      </c>
      <c r="H210">
        <v>99999</v>
      </c>
      <c r="I210" t="s">
        <v>188</v>
      </c>
      <c r="J210" t="s">
        <v>244</v>
      </c>
      <c r="K210" t="s">
        <v>219</v>
      </c>
      <c r="L210" s="34">
        <v>41859</v>
      </c>
      <c r="M210" t="s">
        <v>191</v>
      </c>
      <c r="N210" t="s">
        <v>245</v>
      </c>
      <c r="O210" t="s">
        <v>241</v>
      </c>
      <c r="P210" t="s">
        <v>242</v>
      </c>
      <c r="Q210" t="s">
        <v>243</v>
      </c>
      <c r="R210">
        <v>99999</v>
      </c>
      <c r="S210" t="s">
        <v>188</v>
      </c>
      <c r="T210" t="s">
        <v>206</v>
      </c>
      <c r="U210" t="s">
        <v>194</v>
      </c>
      <c r="V210" t="s">
        <v>195</v>
      </c>
      <c r="W210">
        <v>14</v>
      </c>
      <c r="X210">
        <v>52</v>
      </c>
      <c r="Y210" s="36">
        <v>728</v>
      </c>
      <c r="Z210" s="35">
        <v>72.8</v>
      </c>
    </row>
    <row r="211" spans="1:26" x14ac:dyDescent="0.25">
      <c r="A211">
        <v>1239</v>
      </c>
      <c r="B211" s="34">
        <v>41859</v>
      </c>
      <c r="C211">
        <v>8</v>
      </c>
      <c r="D211" t="s">
        <v>214</v>
      </c>
      <c r="E211" t="s">
        <v>215</v>
      </c>
      <c r="F211" t="s">
        <v>216</v>
      </c>
      <c r="G211" t="s">
        <v>217</v>
      </c>
      <c r="H211">
        <v>99999</v>
      </c>
      <c r="I211" t="s">
        <v>188</v>
      </c>
      <c r="J211" t="s">
        <v>218</v>
      </c>
      <c r="K211" t="s">
        <v>219</v>
      </c>
      <c r="L211" s="34">
        <v>41861</v>
      </c>
      <c r="M211" t="s">
        <v>191</v>
      </c>
      <c r="N211" t="s">
        <v>221</v>
      </c>
      <c r="O211" t="s">
        <v>215</v>
      </c>
      <c r="P211" t="s">
        <v>216</v>
      </c>
      <c r="Q211" t="s">
        <v>217</v>
      </c>
      <c r="R211">
        <v>99999</v>
      </c>
      <c r="S211" t="s">
        <v>188</v>
      </c>
      <c r="T211" t="s">
        <v>193</v>
      </c>
      <c r="U211" t="s">
        <v>246</v>
      </c>
      <c r="V211" t="s">
        <v>247</v>
      </c>
      <c r="W211">
        <v>40</v>
      </c>
      <c r="X211">
        <v>78</v>
      </c>
      <c r="Y211" s="36">
        <v>3120</v>
      </c>
      <c r="Z211" s="35">
        <v>318.24</v>
      </c>
    </row>
    <row r="212" spans="1:26" x14ac:dyDescent="0.25">
      <c r="A212">
        <v>1240</v>
      </c>
      <c r="B212" s="34">
        <v>41859</v>
      </c>
      <c r="C212">
        <v>8</v>
      </c>
      <c r="D212" t="s">
        <v>214</v>
      </c>
      <c r="E212" t="s">
        <v>215</v>
      </c>
      <c r="F212" t="s">
        <v>216</v>
      </c>
      <c r="G212" t="s">
        <v>217</v>
      </c>
      <c r="H212">
        <v>99999</v>
      </c>
      <c r="I212" t="s">
        <v>188</v>
      </c>
      <c r="J212" t="s">
        <v>218</v>
      </c>
      <c r="K212" t="s">
        <v>219</v>
      </c>
      <c r="L212" s="34">
        <v>41861</v>
      </c>
      <c r="M212" t="s">
        <v>191</v>
      </c>
      <c r="N212" t="s">
        <v>221</v>
      </c>
      <c r="O212" t="s">
        <v>215</v>
      </c>
      <c r="P212" t="s">
        <v>216</v>
      </c>
      <c r="Q212" t="s">
        <v>217</v>
      </c>
      <c r="R212">
        <v>99999</v>
      </c>
      <c r="S212" t="s">
        <v>188</v>
      </c>
      <c r="T212" t="s">
        <v>193</v>
      </c>
      <c r="U212" t="s">
        <v>222</v>
      </c>
      <c r="V212" t="s">
        <v>223</v>
      </c>
      <c r="W212">
        <v>9.1999999999999993</v>
      </c>
      <c r="X212">
        <v>54</v>
      </c>
      <c r="Y212" s="36">
        <v>496.79999999999995</v>
      </c>
      <c r="Z212" s="35">
        <v>49.183199999999999</v>
      </c>
    </row>
    <row r="213" spans="1:26" x14ac:dyDescent="0.25">
      <c r="A213">
        <v>1241</v>
      </c>
      <c r="B213" s="34">
        <v>41876</v>
      </c>
      <c r="C213">
        <v>25</v>
      </c>
      <c r="D213" t="s">
        <v>295</v>
      </c>
      <c r="E213" t="s">
        <v>296</v>
      </c>
      <c r="F213" t="s">
        <v>257</v>
      </c>
      <c r="G213" t="s">
        <v>258</v>
      </c>
      <c r="H213">
        <v>99999</v>
      </c>
      <c r="I213" t="s">
        <v>188</v>
      </c>
      <c r="J213" t="s">
        <v>259</v>
      </c>
      <c r="K213" t="s">
        <v>203</v>
      </c>
      <c r="L213" s="34">
        <v>41878</v>
      </c>
      <c r="M213" t="s">
        <v>204</v>
      </c>
      <c r="N213" t="s">
        <v>297</v>
      </c>
      <c r="O213" t="s">
        <v>296</v>
      </c>
      <c r="P213" t="s">
        <v>257</v>
      </c>
      <c r="Q213" t="s">
        <v>258</v>
      </c>
      <c r="R213">
        <v>99999</v>
      </c>
      <c r="S213" t="s">
        <v>188</v>
      </c>
      <c r="T213" t="s">
        <v>237</v>
      </c>
      <c r="U213" t="s">
        <v>304</v>
      </c>
      <c r="V213" t="s">
        <v>223</v>
      </c>
      <c r="W213">
        <v>10</v>
      </c>
      <c r="X213">
        <v>55</v>
      </c>
      <c r="Y213" s="36">
        <v>550</v>
      </c>
      <c r="Z213" s="35">
        <v>52.25</v>
      </c>
    </row>
    <row r="214" spans="1:26" x14ac:dyDescent="0.25">
      <c r="A214">
        <v>1242</v>
      </c>
      <c r="B214" s="34">
        <v>41877</v>
      </c>
      <c r="C214">
        <v>26</v>
      </c>
      <c r="D214" t="s">
        <v>298</v>
      </c>
      <c r="E214" t="s">
        <v>299</v>
      </c>
      <c r="F214" t="s">
        <v>273</v>
      </c>
      <c r="G214" t="s">
        <v>274</v>
      </c>
      <c r="H214">
        <v>99999</v>
      </c>
      <c r="I214" t="s">
        <v>188</v>
      </c>
      <c r="J214" t="s">
        <v>252</v>
      </c>
      <c r="K214" t="s">
        <v>253</v>
      </c>
      <c r="L214" s="34">
        <v>41879</v>
      </c>
      <c r="M214" t="s">
        <v>220</v>
      </c>
      <c r="N214" t="s">
        <v>300</v>
      </c>
      <c r="O214" t="s">
        <v>299</v>
      </c>
      <c r="P214" t="s">
        <v>273</v>
      </c>
      <c r="Q214" t="s">
        <v>274</v>
      </c>
      <c r="R214">
        <v>99999</v>
      </c>
      <c r="S214" t="s">
        <v>188</v>
      </c>
      <c r="T214" t="s">
        <v>206</v>
      </c>
      <c r="U214" t="s">
        <v>305</v>
      </c>
      <c r="V214" t="s">
        <v>306</v>
      </c>
      <c r="W214">
        <v>21.35</v>
      </c>
      <c r="X214">
        <v>60</v>
      </c>
      <c r="Y214" s="36">
        <v>1281</v>
      </c>
      <c r="Z214" s="35">
        <v>129.381</v>
      </c>
    </row>
    <row r="215" spans="1:26" x14ac:dyDescent="0.25">
      <c r="A215">
        <v>1243</v>
      </c>
      <c r="B215" s="34">
        <v>41877</v>
      </c>
      <c r="C215">
        <v>26</v>
      </c>
      <c r="D215" t="s">
        <v>298</v>
      </c>
      <c r="E215" t="s">
        <v>299</v>
      </c>
      <c r="F215" t="s">
        <v>273</v>
      </c>
      <c r="G215" t="s">
        <v>274</v>
      </c>
      <c r="H215">
        <v>99999</v>
      </c>
      <c r="I215" t="s">
        <v>188</v>
      </c>
      <c r="J215" t="s">
        <v>252</v>
      </c>
      <c r="K215" t="s">
        <v>253</v>
      </c>
      <c r="L215" s="34">
        <v>41879</v>
      </c>
      <c r="M215" t="s">
        <v>220</v>
      </c>
      <c r="N215" t="s">
        <v>300</v>
      </c>
      <c r="O215" t="s">
        <v>299</v>
      </c>
      <c r="P215" t="s">
        <v>273</v>
      </c>
      <c r="Q215" t="s">
        <v>274</v>
      </c>
      <c r="R215">
        <v>99999</v>
      </c>
      <c r="S215" t="s">
        <v>188</v>
      </c>
      <c r="T215" t="s">
        <v>206</v>
      </c>
      <c r="U215" t="s">
        <v>238</v>
      </c>
      <c r="V215" t="s">
        <v>239</v>
      </c>
      <c r="W215">
        <v>9.65</v>
      </c>
      <c r="X215">
        <v>19</v>
      </c>
      <c r="Y215" s="36">
        <v>183.35</v>
      </c>
      <c r="Z215" s="35">
        <v>17.41825</v>
      </c>
    </row>
    <row r="216" spans="1:26" x14ac:dyDescent="0.25">
      <c r="A216">
        <v>1244</v>
      </c>
      <c r="B216" s="34">
        <v>41877</v>
      </c>
      <c r="C216">
        <v>26</v>
      </c>
      <c r="D216" t="s">
        <v>298</v>
      </c>
      <c r="E216" t="s">
        <v>299</v>
      </c>
      <c r="F216" t="s">
        <v>273</v>
      </c>
      <c r="G216" t="s">
        <v>274</v>
      </c>
      <c r="H216">
        <v>99999</v>
      </c>
      <c r="I216" t="s">
        <v>188</v>
      </c>
      <c r="J216" t="s">
        <v>252</v>
      </c>
      <c r="K216" t="s">
        <v>253</v>
      </c>
      <c r="L216" s="34">
        <v>41879</v>
      </c>
      <c r="M216" t="s">
        <v>220</v>
      </c>
      <c r="N216" t="s">
        <v>300</v>
      </c>
      <c r="O216" t="s">
        <v>299</v>
      </c>
      <c r="P216" t="s">
        <v>273</v>
      </c>
      <c r="Q216" t="s">
        <v>274</v>
      </c>
      <c r="R216">
        <v>99999</v>
      </c>
      <c r="S216" t="s">
        <v>188</v>
      </c>
      <c r="T216" t="s">
        <v>206</v>
      </c>
      <c r="U216" t="s">
        <v>281</v>
      </c>
      <c r="V216" t="s">
        <v>282</v>
      </c>
      <c r="W216">
        <v>18.399999999999999</v>
      </c>
      <c r="X216">
        <v>66</v>
      </c>
      <c r="Y216" s="36">
        <v>1214.3999999999999</v>
      </c>
      <c r="Z216" s="35">
        <v>125.08320000000001</v>
      </c>
    </row>
    <row r="217" spans="1:26" x14ac:dyDescent="0.25">
      <c r="A217">
        <v>1245</v>
      </c>
      <c r="B217" s="34">
        <v>41880</v>
      </c>
      <c r="C217">
        <v>29</v>
      </c>
      <c r="D217" t="s">
        <v>224</v>
      </c>
      <c r="E217" t="s">
        <v>225</v>
      </c>
      <c r="F217" t="s">
        <v>226</v>
      </c>
      <c r="G217" t="s">
        <v>227</v>
      </c>
      <c r="H217">
        <v>99999</v>
      </c>
      <c r="I217" t="s">
        <v>188</v>
      </c>
      <c r="J217" t="s">
        <v>228</v>
      </c>
      <c r="K217" t="s">
        <v>190</v>
      </c>
      <c r="L217" s="34">
        <v>41882</v>
      </c>
      <c r="M217" t="s">
        <v>191</v>
      </c>
      <c r="N217" t="s">
        <v>229</v>
      </c>
      <c r="O217" t="s">
        <v>225</v>
      </c>
      <c r="P217" t="s">
        <v>226</v>
      </c>
      <c r="Q217" t="s">
        <v>227</v>
      </c>
      <c r="R217">
        <v>99999</v>
      </c>
      <c r="S217" t="s">
        <v>188</v>
      </c>
      <c r="T217" t="s">
        <v>193</v>
      </c>
      <c r="U217" t="s">
        <v>194</v>
      </c>
      <c r="V217" t="s">
        <v>195</v>
      </c>
      <c r="W217">
        <v>14</v>
      </c>
      <c r="X217">
        <v>42</v>
      </c>
      <c r="Y217" s="36">
        <v>588</v>
      </c>
      <c r="Z217" s="35">
        <v>59.388000000000005</v>
      </c>
    </row>
    <row r="218" spans="1:26" x14ac:dyDescent="0.25">
      <c r="A218">
        <v>1246</v>
      </c>
      <c r="B218" s="34">
        <v>41857</v>
      </c>
      <c r="C218">
        <v>6</v>
      </c>
      <c r="D218" t="s">
        <v>240</v>
      </c>
      <c r="E218" t="s">
        <v>241</v>
      </c>
      <c r="F218" t="s">
        <v>242</v>
      </c>
      <c r="G218" t="s">
        <v>243</v>
      </c>
      <c r="H218">
        <v>99999</v>
      </c>
      <c r="I218" t="s">
        <v>188</v>
      </c>
      <c r="J218" t="s">
        <v>244</v>
      </c>
      <c r="K218" t="s">
        <v>219</v>
      </c>
      <c r="L218">
        <v>41859</v>
      </c>
      <c r="M218" t="s">
        <v>220</v>
      </c>
      <c r="N218" t="s">
        <v>245</v>
      </c>
      <c r="O218" t="s">
        <v>241</v>
      </c>
      <c r="P218" t="s">
        <v>242</v>
      </c>
      <c r="Q218" t="s">
        <v>243</v>
      </c>
      <c r="R218">
        <v>99999</v>
      </c>
      <c r="S218" t="s">
        <v>188</v>
      </c>
      <c r="T218" t="s">
        <v>193</v>
      </c>
      <c r="U218" t="s">
        <v>230</v>
      </c>
      <c r="V218" t="s">
        <v>231</v>
      </c>
      <c r="W218">
        <v>12.75</v>
      </c>
      <c r="X218">
        <v>72</v>
      </c>
      <c r="Y218" s="36">
        <v>918</v>
      </c>
      <c r="Z218" s="35">
        <v>89.046000000000006</v>
      </c>
    </row>
    <row r="219" spans="1:26" x14ac:dyDescent="0.25">
      <c r="A219">
        <v>1248</v>
      </c>
      <c r="B219" s="34">
        <v>41855</v>
      </c>
      <c r="C219">
        <v>4</v>
      </c>
      <c r="D219" t="s">
        <v>198</v>
      </c>
      <c r="E219" t="s">
        <v>199</v>
      </c>
      <c r="F219" t="s">
        <v>200</v>
      </c>
      <c r="G219" t="s">
        <v>201</v>
      </c>
      <c r="H219">
        <v>99999</v>
      </c>
      <c r="I219" t="s">
        <v>188</v>
      </c>
      <c r="J219" t="s">
        <v>202</v>
      </c>
      <c r="K219" t="s">
        <v>203</v>
      </c>
      <c r="L219">
        <v>41857</v>
      </c>
      <c r="M219" t="s">
        <v>204</v>
      </c>
      <c r="N219" t="s">
        <v>205</v>
      </c>
      <c r="O219" t="s">
        <v>199</v>
      </c>
      <c r="P219" t="s">
        <v>200</v>
      </c>
      <c r="Q219" t="s">
        <v>201</v>
      </c>
      <c r="R219">
        <v>99999</v>
      </c>
      <c r="S219" t="s">
        <v>188</v>
      </c>
      <c r="T219" t="s">
        <v>206</v>
      </c>
      <c r="U219" t="s">
        <v>307</v>
      </c>
      <c r="V219" t="s">
        <v>268</v>
      </c>
      <c r="W219">
        <v>81</v>
      </c>
      <c r="X219">
        <v>32</v>
      </c>
      <c r="Y219" s="36">
        <v>2592</v>
      </c>
      <c r="Z219" s="35">
        <v>251.42399999999998</v>
      </c>
    </row>
    <row r="220" spans="1:26" x14ac:dyDescent="0.25">
      <c r="A220">
        <v>1249</v>
      </c>
      <c r="B220" s="34">
        <v>41855</v>
      </c>
      <c r="C220">
        <v>4</v>
      </c>
      <c r="D220" t="s">
        <v>198</v>
      </c>
      <c r="E220" t="s">
        <v>199</v>
      </c>
      <c r="F220" t="s">
        <v>200</v>
      </c>
      <c r="G220" t="s">
        <v>201</v>
      </c>
      <c r="H220">
        <v>99999</v>
      </c>
      <c r="I220" t="s">
        <v>188</v>
      </c>
      <c r="J220" t="s">
        <v>202</v>
      </c>
      <c r="K220" t="s">
        <v>203</v>
      </c>
      <c r="L220">
        <v>41857</v>
      </c>
      <c r="M220" t="s">
        <v>204</v>
      </c>
      <c r="N220" t="s">
        <v>205</v>
      </c>
      <c r="O220" t="s">
        <v>199</v>
      </c>
      <c r="P220" t="s">
        <v>200</v>
      </c>
      <c r="Q220" t="s">
        <v>201</v>
      </c>
      <c r="R220">
        <v>99999</v>
      </c>
      <c r="S220" t="s">
        <v>188</v>
      </c>
      <c r="T220" t="s">
        <v>206</v>
      </c>
      <c r="U220" t="s">
        <v>308</v>
      </c>
      <c r="V220" t="s">
        <v>309</v>
      </c>
      <c r="W220">
        <v>7</v>
      </c>
      <c r="X220">
        <v>76</v>
      </c>
      <c r="Y220" s="36">
        <v>532</v>
      </c>
      <c r="Z220" s="35">
        <v>53.732000000000006</v>
      </c>
    </row>
    <row r="221" spans="1:26" x14ac:dyDescent="0.25">
      <c r="A221">
        <v>1250</v>
      </c>
      <c r="B221" s="34">
        <v>41892</v>
      </c>
      <c r="C221">
        <v>10</v>
      </c>
      <c r="D221" t="s">
        <v>255</v>
      </c>
      <c r="E221" t="s">
        <v>256</v>
      </c>
      <c r="F221" t="s">
        <v>257</v>
      </c>
      <c r="G221" t="s">
        <v>258</v>
      </c>
      <c r="H221">
        <v>99999</v>
      </c>
      <c r="I221" t="s">
        <v>188</v>
      </c>
      <c r="J221" t="s">
        <v>259</v>
      </c>
      <c r="K221" t="s">
        <v>203</v>
      </c>
      <c r="L221">
        <v>41894</v>
      </c>
      <c r="M221" t="s">
        <v>204</v>
      </c>
      <c r="N221" t="s">
        <v>260</v>
      </c>
      <c r="O221" t="s">
        <v>256</v>
      </c>
      <c r="P221" t="s">
        <v>257</v>
      </c>
      <c r="Q221" t="s">
        <v>258</v>
      </c>
      <c r="R221">
        <v>99999</v>
      </c>
      <c r="S221" t="s">
        <v>188</v>
      </c>
      <c r="U221" t="s">
        <v>222</v>
      </c>
      <c r="V221" t="s">
        <v>223</v>
      </c>
      <c r="W221">
        <v>9.1999999999999993</v>
      </c>
      <c r="X221">
        <v>83</v>
      </c>
      <c r="Y221" s="36">
        <v>763.59999999999991</v>
      </c>
      <c r="Z221" s="35">
        <v>74.832799999999992</v>
      </c>
    </row>
    <row r="222" spans="1:26" x14ac:dyDescent="0.25">
      <c r="A222">
        <v>1251</v>
      </c>
      <c r="B222" s="34">
        <v>41893</v>
      </c>
      <c r="C222">
        <v>11</v>
      </c>
      <c r="D222" t="s">
        <v>271</v>
      </c>
      <c r="E222" t="s">
        <v>272</v>
      </c>
      <c r="F222" t="s">
        <v>273</v>
      </c>
      <c r="G222" t="s">
        <v>274</v>
      </c>
      <c r="H222">
        <v>99999</v>
      </c>
      <c r="I222" t="s">
        <v>188</v>
      </c>
      <c r="J222" t="s">
        <v>252</v>
      </c>
      <c r="K222" t="s">
        <v>253</v>
      </c>
      <c r="L222" s="34"/>
      <c r="M222" t="s">
        <v>220</v>
      </c>
      <c r="N222" t="s">
        <v>275</v>
      </c>
      <c r="O222" t="s">
        <v>272</v>
      </c>
      <c r="P222" t="s">
        <v>273</v>
      </c>
      <c r="Q222" t="s">
        <v>274</v>
      </c>
      <c r="R222">
        <v>99999</v>
      </c>
      <c r="S222" t="s">
        <v>188</v>
      </c>
      <c r="U222" t="s">
        <v>196</v>
      </c>
      <c r="V222" t="s">
        <v>197</v>
      </c>
      <c r="W222">
        <v>3.5</v>
      </c>
      <c r="X222">
        <v>91</v>
      </c>
      <c r="Y222" s="36">
        <v>318.5</v>
      </c>
      <c r="Z222" s="35">
        <v>31.213000000000001</v>
      </c>
    </row>
    <row r="223" spans="1:26" x14ac:dyDescent="0.25">
      <c r="A223">
        <v>1252</v>
      </c>
      <c r="B223" s="34">
        <v>41893</v>
      </c>
      <c r="C223">
        <v>11</v>
      </c>
      <c r="D223" t="s">
        <v>271</v>
      </c>
      <c r="E223" t="s">
        <v>272</v>
      </c>
      <c r="F223" t="s">
        <v>273</v>
      </c>
      <c r="G223" t="s">
        <v>274</v>
      </c>
      <c r="H223">
        <v>99999</v>
      </c>
      <c r="I223" t="s">
        <v>188</v>
      </c>
      <c r="J223" t="s">
        <v>252</v>
      </c>
      <c r="K223" t="s">
        <v>253</v>
      </c>
      <c r="L223" s="34"/>
      <c r="M223" t="s">
        <v>220</v>
      </c>
      <c r="N223" t="s">
        <v>275</v>
      </c>
      <c r="O223" t="s">
        <v>272</v>
      </c>
      <c r="P223" t="s">
        <v>273</v>
      </c>
      <c r="Q223" t="s">
        <v>274</v>
      </c>
      <c r="R223">
        <v>99999</v>
      </c>
      <c r="S223" t="s">
        <v>188</v>
      </c>
      <c r="U223" t="s">
        <v>261</v>
      </c>
      <c r="V223" t="s">
        <v>195</v>
      </c>
      <c r="W223">
        <v>2.99</v>
      </c>
      <c r="X223">
        <v>64</v>
      </c>
      <c r="Y223" s="36">
        <v>191.36</v>
      </c>
      <c r="Z223" s="35">
        <v>19.518720000000002</v>
      </c>
    </row>
    <row r="224" spans="1:26" x14ac:dyDescent="0.25">
      <c r="A224">
        <v>1253</v>
      </c>
      <c r="B224" s="34">
        <v>41883</v>
      </c>
      <c r="C224">
        <v>1</v>
      </c>
      <c r="D224" t="s">
        <v>276</v>
      </c>
      <c r="E224" t="s">
        <v>277</v>
      </c>
      <c r="F224" t="s">
        <v>278</v>
      </c>
      <c r="G224" t="s">
        <v>279</v>
      </c>
      <c r="H224">
        <v>99999</v>
      </c>
      <c r="I224" t="s">
        <v>188</v>
      </c>
      <c r="J224" t="s">
        <v>218</v>
      </c>
      <c r="K224" t="s">
        <v>219</v>
      </c>
      <c r="L224" s="34"/>
      <c r="N224" t="s">
        <v>280</v>
      </c>
      <c r="O224" t="s">
        <v>277</v>
      </c>
      <c r="P224" t="s">
        <v>278</v>
      </c>
      <c r="Q224" t="s">
        <v>279</v>
      </c>
      <c r="R224">
        <v>99999</v>
      </c>
      <c r="S224" t="s">
        <v>188</v>
      </c>
      <c r="U224" t="s">
        <v>212</v>
      </c>
      <c r="V224" t="s">
        <v>195</v>
      </c>
      <c r="W224">
        <v>18</v>
      </c>
      <c r="X224">
        <v>58</v>
      </c>
      <c r="Y224" s="36">
        <v>1044</v>
      </c>
      <c r="Z224" s="35">
        <v>103.35600000000001</v>
      </c>
    </row>
    <row r="225" spans="1:26" x14ac:dyDescent="0.25">
      <c r="A225">
        <v>1254</v>
      </c>
      <c r="B225" s="34">
        <v>41883</v>
      </c>
      <c r="C225">
        <v>1</v>
      </c>
      <c r="D225" t="s">
        <v>276</v>
      </c>
      <c r="E225" t="s">
        <v>277</v>
      </c>
      <c r="F225" t="s">
        <v>278</v>
      </c>
      <c r="G225" t="s">
        <v>279</v>
      </c>
      <c r="H225">
        <v>99999</v>
      </c>
      <c r="I225" t="s">
        <v>188</v>
      </c>
      <c r="J225" t="s">
        <v>218</v>
      </c>
      <c r="K225" t="s">
        <v>219</v>
      </c>
      <c r="L225" s="34"/>
      <c r="N225" t="s">
        <v>280</v>
      </c>
      <c r="O225" t="s">
        <v>277</v>
      </c>
      <c r="P225" t="s">
        <v>278</v>
      </c>
      <c r="Q225" t="s">
        <v>279</v>
      </c>
      <c r="R225">
        <v>99999</v>
      </c>
      <c r="S225" t="s">
        <v>188</v>
      </c>
      <c r="U225" t="s">
        <v>213</v>
      </c>
      <c r="V225" t="s">
        <v>195</v>
      </c>
      <c r="W225" s="35">
        <v>46</v>
      </c>
      <c r="X225">
        <v>97</v>
      </c>
      <c r="Y225" s="36">
        <v>4462</v>
      </c>
      <c r="Z225" s="35">
        <v>464.04800000000006</v>
      </c>
    </row>
    <row r="226" spans="1:26" x14ac:dyDescent="0.25">
      <c r="A226">
        <v>1255</v>
      </c>
      <c r="B226" s="34">
        <v>41883</v>
      </c>
      <c r="C226">
        <v>1</v>
      </c>
      <c r="D226" t="s">
        <v>276</v>
      </c>
      <c r="E226" t="s">
        <v>277</v>
      </c>
      <c r="F226" t="s">
        <v>278</v>
      </c>
      <c r="G226" t="s">
        <v>279</v>
      </c>
      <c r="H226">
        <v>99999</v>
      </c>
      <c r="I226" t="s">
        <v>188</v>
      </c>
      <c r="J226" t="s">
        <v>218</v>
      </c>
      <c r="K226" t="s">
        <v>219</v>
      </c>
      <c r="L226" s="34"/>
      <c r="N226" t="s">
        <v>280</v>
      </c>
      <c r="O226" t="s">
        <v>277</v>
      </c>
      <c r="P226" t="s">
        <v>278</v>
      </c>
      <c r="Q226" t="s">
        <v>279</v>
      </c>
      <c r="R226">
        <v>99999</v>
      </c>
      <c r="S226" t="s">
        <v>188</v>
      </c>
      <c r="U226" t="s">
        <v>261</v>
      </c>
      <c r="V226" t="s">
        <v>195</v>
      </c>
      <c r="W226" s="35">
        <v>2.99</v>
      </c>
      <c r="X226">
        <v>14</v>
      </c>
      <c r="Y226" s="36">
        <v>41.86</v>
      </c>
      <c r="Z226" s="35">
        <v>4.35344</v>
      </c>
    </row>
    <row r="227" spans="1:26" x14ac:dyDescent="0.25">
      <c r="A227">
        <v>1256</v>
      </c>
      <c r="B227" s="34">
        <v>41910</v>
      </c>
      <c r="C227">
        <v>28</v>
      </c>
      <c r="D227" t="s">
        <v>248</v>
      </c>
      <c r="E227" t="s">
        <v>249</v>
      </c>
      <c r="F227" t="s">
        <v>250</v>
      </c>
      <c r="G227" t="s">
        <v>251</v>
      </c>
      <c r="H227">
        <v>99999</v>
      </c>
      <c r="I227" t="s">
        <v>188</v>
      </c>
      <c r="J227" t="s">
        <v>252</v>
      </c>
      <c r="K227" t="s">
        <v>253</v>
      </c>
      <c r="L227" s="34">
        <v>41912</v>
      </c>
      <c r="M227" t="s">
        <v>220</v>
      </c>
      <c r="N227" t="s">
        <v>254</v>
      </c>
      <c r="O227" t="s">
        <v>249</v>
      </c>
      <c r="P227" t="s">
        <v>250</v>
      </c>
      <c r="Q227" t="s">
        <v>251</v>
      </c>
      <c r="R227">
        <v>99999</v>
      </c>
      <c r="S227" t="s">
        <v>188</v>
      </c>
      <c r="T227" t="s">
        <v>206</v>
      </c>
      <c r="U227" t="s">
        <v>238</v>
      </c>
      <c r="V227" t="s">
        <v>239</v>
      </c>
      <c r="W227" s="35">
        <v>9.65</v>
      </c>
      <c r="X227">
        <v>68</v>
      </c>
      <c r="Y227" s="36">
        <v>656.2</v>
      </c>
      <c r="Z227" s="35">
        <v>64.307600000000008</v>
      </c>
    </row>
    <row r="228" spans="1:26" x14ac:dyDescent="0.25">
      <c r="A228">
        <v>1257</v>
      </c>
      <c r="B228" s="34">
        <v>41910</v>
      </c>
      <c r="C228">
        <v>28</v>
      </c>
      <c r="D228" t="s">
        <v>248</v>
      </c>
      <c r="E228" t="s">
        <v>249</v>
      </c>
      <c r="F228" t="s">
        <v>250</v>
      </c>
      <c r="G228" t="s">
        <v>251</v>
      </c>
      <c r="H228">
        <v>99999</v>
      </c>
      <c r="I228" t="s">
        <v>188</v>
      </c>
      <c r="J228" t="s">
        <v>252</v>
      </c>
      <c r="K228" t="s">
        <v>253</v>
      </c>
      <c r="L228">
        <v>41912</v>
      </c>
      <c r="M228" t="s">
        <v>220</v>
      </c>
      <c r="N228" t="s">
        <v>254</v>
      </c>
      <c r="O228" t="s">
        <v>249</v>
      </c>
      <c r="P228" t="s">
        <v>250</v>
      </c>
      <c r="Q228" t="s">
        <v>251</v>
      </c>
      <c r="R228">
        <v>99999</v>
      </c>
      <c r="S228" t="s">
        <v>188</v>
      </c>
      <c r="T228" t="s">
        <v>206</v>
      </c>
      <c r="U228" t="s">
        <v>281</v>
      </c>
      <c r="V228" t="s">
        <v>282</v>
      </c>
      <c r="W228" s="35">
        <v>18.399999999999999</v>
      </c>
      <c r="X228">
        <v>32</v>
      </c>
      <c r="Y228" s="36">
        <v>588.79999999999995</v>
      </c>
      <c r="Z228" s="35">
        <v>58.879999999999995</v>
      </c>
    </row>
    <row r="229" spans="1:26" x14ac:dyDescent="0.25">
      <c r="A229">
        <v>1258</v>
      </c>
      <c r="B229" s="34">
        <v>41891</v>
      </c>
      <c r="C229">
        <v>9</v>
      </c>
      <c r="D229" t="s">
        <v>283</v>
      </c>
      <c r="E229" t="s">
        <v>284</v>
      </c>
      <c r="F229" t="s">
        <v>285</v>
      </c>
      <c r="G229" t="s">
        <v>286</v>
      </c>
      <c r="H229">
        <v>99999</v>
      </c>
      <c r="I229" t="s">
        <v>188</v>
      </c>
      <c r="J229" t="s">
        <v>287</v>
      </c>
      <c r="K229" t="s">
        <v>190</v>
      </c>
      <c r="L229" s="34">
        <v>41893</v>
      </c>
      <c r="M229" t="s">
        <v>204</v>
      </c>
      <c r="N229" t="s">
        <v>288</v>
      </c>
      <c r="O229" t="s">
        <v>284</v>
      </c>
      <c r="P229" t="s">
        <v>285</v>
      </c>
      <c r="Q229" t="s">
        <v>286</v>
      </c>
      <c r="R229">
        <v>99999</v>
      </c>
      <c r="S229" t="s">
        <v>188</v>
      </c>
      <c r="T229" t="s">
        <v>193</v>
      </c>
      <c r="U229" t="s">
        <v>289</v>
      </c>
      <c r="V229" t="s">
        <v>290</v>
      </c>
      <c r="W229" s="35">
        <v>19.5</v>
      </c>
      <c r="X229">
        <v>48</v>
      </c>
      <c r="Y229" s="36">
        <v>936</v>
      </c>
      <c r="Z229" s="35">
        <v>94.536000000000016</v>
      </c>
    </row>
    <row r="230" spans="1:26" x14ac:dyDescent="0.25">
      <c r="A230">
        <v>1259</v>
      </c>
      <c r="B230" s="34">
        <v>41891</v>
      </c>
      <c r="C230">
        <v>9</v>
      </c>
      <c r="D230" t="s">
        <v>283</v>
      </c>
      <c r="E230" t="s">
        <v>284</v>
      </c>
      <c r="F230" t="s">
        <v>285</v>
      </c>
      <c r="G230" t="s">
        <v>286</v>
      </c>
      <c r="H230">
        <v>99999</v>
      </c>
      <c r="I230" t="s">
        <v>188</v>
      </c>
      <c r="J230" t="s">
        <v>287</v>
      </c>
      <c r="K230" t="s">
        <v>190</v>
      </c>
      <c r="L230" s="34">
        <v>41893</v>
      </c>
      <c r="M230" t="s">
        <v>204</v>
      </c>
      <c r="N230" t="s">
        <v>288</v>
      </c>
      <c r="O230" t="s">
        <v>284</v>
      </c>
      <c r="P230" t="s">
        <v>285</v>
      </c>
      <c r="Q230" t="s">
        <v>286</v>
      </c>
      <c r="R230">
        <v>99999</v>
      </c>
      <c r="S230" t="s">
        <v>188</v>
      </c>
      <c r="T230" t="s">
        <v>193</v>
      </c>
      <c r="U230" t="s">
        <v>291</v>
      </c>
      <c r="V230" t="s">
        <v>292</v>
      </c>
      <c r="W230" s="35">
        <v>34.799999999999997</v>
      </c>
      <c r="X230">
        <v>57</v>
      </c>
      <c r="Y230" s="36">
        <v>1983.6</v>
      </c>
      <c r="Z230" s="35">
        <v>194.39280000000002</v>
      </c>
    </row>
    <row r="231" spans="1:26" x14ac:dyDescent="0.25">
      <c r="A231">
        <v>1260</v>
      </c>
      <c r="B231" s="34">
        <v>41888</v>
      </c>
      <c r="C231">
        <v>6</v>
      </c>
      <c r="D231" t="s">
        <v>240</v>
      </c>
      <c r="E231" t="s">
        <v>241</v>
      </c>
      <c r="F231" t="s">
        <v>242</v>
      </c>
      <c r="G231" t="s">
        <v>243</v>
      </c>
      <c r="H231">
        <v>99999</v>
      </c>
      <c r="I231" t="s">
        <v>188</v>
      </c>
      <c r="J231" t="s">
        <v>244</v>
      </c>
      <c r="K231" t="s">
        <v>219</v>
      </c>
      <c r="L231" s="34">
        <v>41890</v>
      </c>
      <c r="M231" t="s">
        <v>191</v>
      </c>
      <c r="N231" t="s">
        <v>245</v>
      </c>
      <c r="O231" t="s">
        <v>241</v>
      </c>
      <c r="P231" t="s">
        <v>242</v>
      </c>
      <c r="Q231" t="s">
        <v>243</v>
      </c>
      <c r="R231">
        <v>99999</v>
      </c>
      <c r="S231" t="s">
        <v>188</v>
      </c>
      <c r="T231" t="s">
        <v>206</v>
      </c>
      <c r="U231" t="s">
        <v>194</v>
      </c>
      <c r="V231" t="s">
        <v>195</v>
      </c>
      <c r="W231" s="35">
        <v>14</v>
      </c>
      <c r="X231">
        <v>67</v>
      </c>
      <c r="Y231" s="36">
        <v>938</v>
      </c>
      <c r="Z231" s="35">
        <v>98.490000000000009</v>
      </c>
    </row>
    <row r="232" spans="1:26" x14ac:dyDescent="0.25">
      <c r="A232">
        <v>1261</v>
      </c>
      <c r="B232" s="34">
        <v>41890</v>
      </c>
      <c r="C232">
        <v>8</v>
      </c>
      <c r="D232" t="s">
        <v>214</v>
      </c>
      <c r="E232" t="s">
        <v>215</v>
      </c>
      <c r="F232" t="s">
        <v>216</v>
      </c>
      <c r="G232" t="s">
        <v>217</v>
      </c>
      <c r="H232">
        <v>99999</v>
      </c>
      <c r="I232" t="s">
        <v>188</v>
      </c>
      <c r="J232" t="s">
        <v>218</v>
      </c>
      <c r="K232" t="s">
        <v>219</v>
      </c>
      <c r="L232">
        <v>41892</v>
      </c>
      <c r="M232" t="s">
        <v>191</v>
      </c>
      <c r="N232" t="s">
        <v>221</v>
      </c>
      <c r="O232" t="s">
        <v>215</v>
      </c>
      <c r="P232" t="s">
        <v>216</v>
      </c>
      <c r="Q232" t="s">
        <v>217</v>
      </c>
      <c r="R232">
        <v>99999</v>
      </c>
      <c r="S232" t="s">
        <v>188</v>
      </c>
      <c r="T232" t="s">
        <v>193</v>
      </c>
      <c r="U232" t="s">
        <v>246</v>
      </c>
      <c r="V232" t="s">
        <v>247</v>
      </c>
      <c r="W232" s="35">
        <v>40</v>
      </c>
      <c r="X232">
        <v>48</v>
      </c>
      <c r="Y232" s="36">
        <v>1920</v>
      </c>
      <c r="Z232" s="35">
        <v>188.16</v>
      </c>
    </row>
    <row r="233" spans="1:26" x14ac:dyDescent="0.25">
      <c r="A233">
        <v>1262</v>
      </c>
      <c r="B233" s="34">
        <v>41890</v>
      </c>
      <c r="C233">
        <v>8</v>
      </c>
      <c r="D233" t="s">
        <v>214</v>
      </c>
      <c r="E233" t="s">
        <v>215</v>
      </c>
      <c r="F233" t="s">
        <v>216</v>
      </c>
      <c r="G233" t="s">
        <v>217</v>
      </c>
      <c r="H233">
        <v>99999</v>
      </c>
      <c r="I233" t="s">
        <v>188</v>
      </c>
      <c r="J233" t="s">
        <v>218</v>
      </c>
      <c r="K233" t="s">
        <v>219</v>
      </c>
      <c r="L233">
        <v>41892</v>
      </c>
      <c r="M233" t="s">
        <v>191</v>
      </c>
      <c r="N233" t="s">
        <v>221</v>
      </c>
      <c r="O233" t="s">
        <v>215</v>
      </c>
      <c r="P233" t="s">
        <v>216</v>
      </c>
      <c r="Q233" t="s">
        <v>217</v>
      </c>
      <c r="R233">
        <v>99999</v>
      </c>
      <c r="S233" t="s">
        <v>188</v>
      </c>
      <c r="T233" t="s">
        <v>193</v>
      </c>
      <c r="U233" t="s">
        <v>222</v>
      </c>
      <c r="V233" t="s">
        <v>223</v>
      </c>
      <c r="W233" s="35">
        <v>9.1999999999999993</v>
      </c>
      <c r="X233">
        <v>77</v>
      </c>
      <c r="Y233" s="36">
        <v>708.4</v>
      </c>
      <c r="Z233" s="35">
        <v>72.256799999999998</v>
      </c>
    </row>
    <row r="234" spans="1:26" x14ac:dyDescent="0.25">
      <c r="A234">
        <v>1263</v>
      </c>
      <c r="B234" s="34">
        <v>41907</v>
      </c>
      <c r="C234">
        <v>25</v>
      </c>
      <c r="D234" t="s">
        <v>295</v>
      </c>
      <c r="E234" t="s">
        <v>296</v>
      </c>
      <c r="F234" t="s">
        <v>257</v>
      </c>
      <c r="G234" t="s">
        <v>258</v>
      </c>
      <c r="H234">
        <v>99999</v>
      </c>
      <c r="I234" t="s">
        <v>188</v>
      </c>
      <c r="J234" t="s">
        <v>259</v>
      </c>
      <c r="K234" t="s">
        <v>203</v>
      </c>
      <c r="L234">
        <v>41909</v>
      </c>
      <c r="M234" t="s">
        <v>204</v>
      </c>
      <c r="N234" t="s">
        <v>297</v>
      </c>
      <c r="O234" t="s">
        <v>296</v>
      </c>
      <c r="P234" t="s">
        <v>257</v>
      </c>
      <c r="Q234" t="s">
        <v>258</v>
      </c>
      <c r="R234">
        <v>99999</v>
      </c>
      <c r="S234" t="s">
        <v>188</v>
      </c>
      <c r="T234" t="s">
        <v>237</v>
      </c>
      <c r="U234" t="s">
        <v>304</v>
      </c>
      <c r="V234" t="s">
        <v>223</v>
      </c>
      <c r="W234" s="35">
        <v>10</v>
      </c>
      <c r="X234">
        <v>94</v>
      </c>
      <c r="Y234" s="36">
        <v>940</v>
      </c>
      <c r="Z234" s="35">
        <v>97.76</v>
      </c>
    </row>
    <row r="235" spans="1:26" x14ac:dyDescent="0.25">
      <c r="A235">
        <v>1264</v>
      </c>
      <c r="B235" s="34">
        <v>41908</v>
      </c>
      <c r="C235">
        <v>26</v>
      </c>
      <c r="D235" t="s">
        <v>298</v>
      </c>
      <c r="E235" t="s">
        <v>299</v>
      </c>
      <c r="F235" t="s">
        <v>273</v>
      </c>
      <c r="G235" t="s">
        <v>274</v>
      </c>
      <c r="H235">
        <v>99999</v>
      </c>
      <c r="I235" t="s">
        <v>188</v>
      </c>
      <c r="J235" t="s">
        <v>252</v>
      </c>
      <c r="K235" t="s">
        <v>253</v>
      </c>
      <c r="L235">
        <v>41910</v>
      </c>
      <c r="M235" t="s">
        <v>220</v>
      </c>
      <c r="N235" t="s">
        <v>300</v>
      </c>
      <c r="O235" t="s">
        <v>299</v>
      </c>
      <c r="P235" t="s">
        <v>273</v>
      </c>
      <c r="Q235" t="s">
        <v>274</v>
      </c>
      <c r="R235">
        <v>99999</v>
      </c>
      <c r="S235" t="s">
        <v>188</v>
      </c>
      <c r="T235" t="s">
        <v>206</v>
      </c>
      <c r="U235" t="s">
        <v>305</v>
      </c>
      <c r="V235" t="s">
        <v>306</v>
      </c>
      <c r="W235" s="35">
        <v>21.35</v>
      </c>
      <c r="X235">
        <v>54</v>
      </c>
      <c r="Y235" s="36">
        <v>1152.9000000000001</v>
      </c>
      <c r="Z235" s="35">
        <v>121.05450000000003</v>
      </c>
    </row>
    <row r="236" spans="1:26" x14ac:dyDescent="0.25">
      <c r="A236">
        <v>1265</v>
      </c>
      <c r="B236" s="34">
        <v>41908</v>
      </c>
      <c r="C236">
        <v>26</v>
      </c>
      <c r="D236" t="s">
        <v>298</v>
      </c>
      <c r="E236" t="s">
        <v>299</v>
      </c>
      <c r="F236" t="s">
        <v>273</v>
      </c>
      <c r="G236" t="s">
        <v>274</v>
      </c>
      <c r="H236">
        <v>99999</v>
      </c>
      <c r="I236" t="s">
        <v>188</v>
      </c>
      <c r="J236" t="s">
        <v>252</v>
      </c>
      <c r="K236" t="s">
        <v>253</v>
      </c>
      <c r="L236">
        <v>41910</v>
      </c>
      <c r="M236" t="s">
        <v>220</v>
      </c>
      <c r="N236" t="s">
        <v>300</v>
      </c>
      <c r="O236" t="s">
        <v>299</v>
      </c>
      <c r="P236" t="s">
        <v>273</v>
      </c>
      <c r="Q236" t="s">
        <v>274</v>
      </c>
      <c r="R236">
        <v>99999</v>
      </c>
      <c r="S236" t="s">
        <v>188</v>
      </c>
      <c r="T236" t="s">
        <v>206</v>
      </c>
      <c r="U236" t="s">
        <v>238</v>
      </c>
      <c r="V236" t="s">
        <v>239</v>
      </c>
      <c r="W236" s="35">
        <v>9.65</v>
      </c>
      <c r="X236">
        <v>43</v>
      </c>
      <c r="Y236" s="36">
        <v>414.95</v>
      </c>
      <c r="Z236" s="35">
        <v>40.250150000000005</v>
      </c>
    </row>
    <row r="237" spans="1:26" x14ac:dyDescent="0.25">
      <c r="A237">
        <v>1266</v>
      </c>
      <c r="B237" s="34">
        <v>41908</v>
      </c>
      <c r="C237">
        <v>26</v>
      </c>
      <c r="D237" t="s">
        <v>298</v>
      </c>
      <c r="E237" t="s">
        <v>299</v>
      </c>
      <c r="F237" t="s">
        <v>273</v>
      </c>
      <c r="G237" t="s">
        <v>274</v>
      </c>
      <c r="H237">
        <v>99999</v>
      </c>
      <c r="I237" t="s">
        <v>188</v>
      </c>
      <c r="J237" t="s">
        <v>252</v>
      </c>
      <c r="K237" t="s">
        <v>253</v>
      </c>
      <c r="L237" s="34">
        <v>41910</v>
      </c>
      <c r="M237" t="s">
        <v>220</v>
      </c>
      <c r="N237" t="s">
        <v>300</v>
      </c>
      <c r="O237" t="s">
        <v>299</v>
      </c>
      <c r="P237" t="s">
        <v>273</v>
      </c>
      <c r="Q237" t="s">
        <v>274</v>
      </c>
      <c r="R237">
        <v>99999</v>
      </c>
      <c r="S237" t="s">
        <v>188</v>
      </c>
      <c r="T237" t="s">
        <v>206</v>
      </c>
      <c r="U237" t="s">
        <v>281</v>
      </c>
      <c r="V237" t="s">
        <v>282</v>
      </c>
      <c r="W237" s="35">
        <v>18.399999999999999</v>
      </c>
      <c r="X237">
        <v>71</v>
      </c>
      <c r="Y237" s="36">
        <v>1306.3999999999999</v>
      </c>
      <c r="Z237" s="35">
        <v>134.55919999999998</v>
      </c>
    </row>
    <row r="238" spans="1:26" x14ac:dyDescent="0.25">
      <c r="A238">
        <v>1267</v>
      </c>
      <c r="B238" s="34">
        <v>41911</v>
      </c>
      <c r="C238">
        <v>29</v>
      </c>
      <c r="D238" t="s">
        <v>224</v>
      </c>
      <c r="E238" t="s">
        <v>225</v>
      </c>
      <c r="F238" t="s">
        <v>226</v>
      </c>
      <c r="G238" t="s">
        <v>227</v>
      </c>
      <c r="H238">
        <v>99999</v>
      </c>
      <c r="I238" t="s">
        <v>188</v>
      </c>
      <c r="J238" t="s">
        <v>228</v>
      </c>
      <c r="K238" t="s">
        <v>190</v>
      </c>
      <c r="L238" s="34">
        <v>41913</v>
      </c>
      <c r="M238" t="s">
        <v>191</v>
      </c>
      <c r="N238" t="s">
        <v>229</v>
      </c>
      <c r="O238" t="s">
        <v>225</v>
      </c>
      <c r="P238" t="s">
        <v>226</v>
      </c>
      <c r="Q238" t="s">
        <v>227</v>
      </c>
      <c r="R238">
        <v>99999</v>
      </c>
      <c r="S238" t="s">
        <v>188</v>
      </c>
      <c r="T238" t="s">
        <v>193</v>
      </c>
      <c r="U238" t="s">
        <v>194</v>
      </c>
      <c r="V238" t="s">
        <v>195</v>
      </c>
      <c r="W238" s="35">
        <v>14</v>
      </c>
      <c r="X238">
        <v>50</v>
      </c>
      <c r="Y238" s="36">
        <v>700</v>
      </c>
      <c r="Z238" s="35">
        <v>67.2</v>
      </c>
    </row>
    <row r="239" spans="1:26" x14ac:dyDescent="0.25">
      <c r="A239">
        <v>1268</v>
      </c>
      <c r="B239" s="34">
        <v>41888</v>
      </c>
      <c r="C239">
        <v>6</v>
      </c>
      <c r="D239" t="s">
        <v>240</v>
      </c>
      <c r="E239" t="s">
        <v>241</v>
      </c>
      <c r="F239" t="s">
        <v>242</v>
      </c>
      <c r="G239" t="s">
        <v>243</v>
      </c>
      <c r="H239">
        <v>99999</v>
      </c>
      <c r="I239" t="s">
        <v>188</v>
      </c>
      <c r="J239" t="s">
        <v>244</v>
      </c>
      <c r="K239" t="s">
        <v>219</v>
      </c>
      <c r="L239" s="34">
        <v>41890</v>
      </c>
      <c r="M239" t="s">
        <v>220</v>
      </c>
      <c r="N239" t="s">
        <v>245</v>
      </c>
      <c r="O239" t="s">
        <v>241</v>
      </c>
      <c r="P239" t="s">
        <v>242</v>
      </c>
      <c r="Q239" t="s">
        <v>243</v>
      </c>
      <c r="R239">
        <v>99999</v>
      </c>
      <c r="S239" t="s">
        <v>188</v>
      </c>
      <c r="T239" t="s">
        <v>193</v>
      </c>
      <c r="U239" t="s">
        <v>230</v>
      </c>
      <c r="V239" t="s">
        <v>231</v>
      </c>
      <c r="W239" s="35">
        <v>12.75</v>
      </c>
      <c r="X239">
        <v>96</v>
      </c>
      <c r="Y239" s="36">
        <v>1224</v>
      </c>
      <c r="Z239" s="35">
        <v>119.952</v>
      </c>
    </row>
    <row r="240" spans="1:26" x14ac:dyDescent="0.25">
      <c r="A240">
        <v>1270</v>
      </c>
      <c r="B240" s="34">
        <v>41886</v>
      </c>
      <c r="C240">
        <v>4</v>
      </c>
      <c r="D240" t="s">
        <v>198</v>
      </c>
      <c r="E240" t="s">
        <v>199</v>
      </c>
      <c r="F240" t="s">
        <v>200</v>
      </c>
      <c r="G240" t="s">
        <v>201</v>
      </c>
      <c r="H240">
        <v>99999</v>
      </c>
      <c r="I240" t="s">
        <v>188</v>
      </c>
      <c r="J240" t="s">
        <v>202</v>
      </c>
      <c r="K240" t="s">
        <v>203</v>
      </c>
      <c r="L240" s="34">
        <v>41888</v>
      </c>
      <c r="M240" t="s">
        <v>204</v>
      </c>
      <c r="N240" t="s">
        <v>205</v>
      </c>
      <c r="O240" t="s">
        <v>199</v>
      </c>
      <c r="P240" t="s">
        <v>200</v>
      </c>
      <c r="Q240" t="s">
        <v>201</v>
      </c>
      <c r="R240">
        <v>99999</v>
      </c>
      <c r="S240" t="s">
        <v>188</v>
      </c>
      <c r="T240" t="s">
        <v>206</v>
      </c>
      <c r="U240" t="s">
        <v>307</v>
      </c>
      <c r="V240" t="s">
        <v>268</v>
      </c>
      <c r="W240" s="35">
        <v>81</v>
      </c>
      <c r="X240">
        <v>54</v>
      </c>
      <c r="Y240" s="36">
        <v>4374</v>
      </c>
      <c r="Z240" s="35">
        <v>437.40000000000003</v>
      </c>
    </row>
    <row r="241" spans="1:26" x14ac:dyDescent="0.25">
      <c r="A241">
        <v>1271</v>
      </c>
      <c r="B241" s="34">
        <v>41886</v>
      </c>
      <c r="C241">
        <v>4</v>
      </c>
      <c r="D241" t="s">
        <v>198</v>
      </c>
      <c r="E241" t="s">
        <v>199</v>
      </c>
      <c r="F241" t="s">
        <v>200</v>
      </c>
      <c r="G241" t="s">
        <v>201</v>
      </c>
      <c r="H241">
        <v>99999</v>
      </c>
      <c r="I241" t="s">
        <v>188</v>
      </c>
      <c r="J241" t="s">
        <v>202</v>
      </c>
      <c r="K241" t="s">
        <v>203</v>
      </c>
      <c r="L241" s="34">
        <v>41888</v>
      </c>
      <c r="M241" t="s">
        <v>204</v>
      </c>
      <c r="N241" t="s">
        <v>205</v>
      </c>
      <c r="O241" t="s">
        <v>199</v>
      </c>
      <c r="P241" t="s">
        <v>200</v>
      </c>
      <c r="Q241" t="s">
        <v>201</v>
      </c>
      <c r="R241">
        <v>99999</v>
      </c>
      <c r="S241" t="s">
        <v>188</v>
      </c>
      <c r="T241" t="s">
        <v>206</v>
      </c>
      <c r="U241" t="s">
        <v>308</v>
      </c>
      <c r="V241" t="s">
        <v>309</v>
      </c>
      <c r="W241" s="35">
        <v>7</v>
      </c>
      <c r="X241">
        <v>39</v>
      </c>
      <c r="Y241" s="36">
        <v>273</v>
      </c>
      <c r="Z241" s="35">
        <v>27.3</v>
      </c>
    </row>
    <row r="242" spans="1:26" x14ac:dyDescent="0.25">
      <c r="A242">
        <v>1273</v>
      </c>
      <c r="B242" s="34">
        <v>41890</v>
      </c>
      <c r="C242">
        <v>8</v>
      </c>
      <c r="D242" t="s">
        <v>214</v>
      </c>
      <c r="E242" t="s">
        <v>215</v>
      </c>
      <c r="F242" t="s">
        <v>216</v>
      </c>
      <c r="G242" t="s">
        <v>217</v>
      </c>
      <c r="H242">
        <v>99999</v>
      </c>
      <c r="I242" t="s">
        <v>188</v>
      </c>
      <c r="J242" t="s">
        <v>218</v>
      </c>
      <c r="K242" t="s">
        <v>219</v>
      </c>
      <c r="L242" s="34">
        <v>41892</v>
      </c>
      <c r="M242" t="s">
        <v>220</v>
      </c>
      <c r="N242" t="s">
        <v>221</v>
      </c>
      <c r="O242" t="s">
        <v>215</v>
      </c>
      <c r="P242" t="s">
        <v>216</v>
      </c>
      <c r="Q242" t="s">
        <v>217</v>
      </c>
      <c r="R242">
        <v>99999</v>
      </c>
      <c r="S242" t="s">
        <v>188</v>
      </c>
      <c r="T242" t="s">
        <v>206</v>
      </c>
      <c r="U242" t="s">
        <v>291</v>
      </c>
      <c r="V242" t="s">
        <v>292</v>
      </c>
      <c r="W242" s="35">
        <v>34.799999999999997</v>
      </c>
      <c r="X242">
        <v>63</v>
      </c>
      <c r="Y242" s="36">
        <v>2192.3999999999996</v>
      </c>
      <c r="Z242" s="35">
        <v>230.202</v>
      </c>
    </row>
    <row r="243" spans="1:26" x14ac:dyDescent="0.25">
      <c r="A243">
        <v>1276</v>
      </c>
      <c r="B243" s="34">
        <v>41885</v>
      </c>
      <c r="C243">
        <v>3</v>
      </c>
      <c r="D243" t="s">
        <v>232</v>
      </c>
      <c r="E243" t="s">
        <v>233</v>
      </c>
      <c r="F243" t="s">
        <v>234</v>
      </c>
      <c r="G243" t="s">
        <v>235</v>
      </c>
      <c r="H243">
        <v>99999</v>
      </c>
      <c r="I243" t="s">
        <v>188</v>
      </c>
      <c r="J243" t="s">
        <v>189</v>
      </c>
      <c r="K243" t="s">
        <v>190</v>
      </c>
      <c r="L243" s="34">
        <v>41887</v>
      </c>
      <c r="M243" t="s">
        <v>191</v>
      </c>
      <c r="N243" t="s">
        <v>236</v>
      </c>
      <c r="O243" t="s">
        <v>233</v>
      </c>
      <c r="P243" t="s">
        <v>234</v>
      </c>
      <c r="Q243" t="s">
        <v>235</v>
      </c>
      <c r="R243">
        <v>99999</v>
      </c>
      <c r="S243" t="s">
        <v>188</v>
      </c>
      <c r="T243" t="s">
        <v>237</v>
      </c>
      <c r="U243" t="s">
        <v>293</v>
      </c>
      <c r="V243" t="s">
        <v>270</v>
      </c>
      <c r="W243" s="35">
        <v>10</v>
      </c>
      <c r="X243">
        <v>71</v>
      </c>
      <c r="Y243" s="36">
        <v>710</v>
      </c>
      <c r="Z243" s="35">
        <v>73.13</v>
      </c>
    </row>
    <row r="244" spans="1:26" x14ac:dyDescent="0.25">
      <c r="A244">
        <v>1277</v>
      </c>
      <c r="B244" s="34">
        <v>41885</v>
      </c>
      <c r="C244">
        <v>3</v>
      </c>
      <c r="D244" t="s">
        <v>232</v>
      </c>
      <c r="E244" t="s">
        <v>233</v>
      </c>
      <c r="F244" t="s">
        <v>234</v>
      </c>
      <c r="G244" t="s">
        <v>235</v>
      </c>
      <c r="H244">
        <v>99999</v>
      </c>
      <c r="I244" t="s">
        <v>188</v>
      </c>
      <c r="J244" t="s">
        <v>189</v>
      </c>
      <c r="K244" t="s">
        <v>190</v>
      </c>
      <c r="L244" s="34">
        <v>41887</v>
      </c>
      <c r="M244" t="s">
        <v>191</v>
      </c>
      <c r="N244" t="s">
        <v>236</v>
      </c>
      <c r="O244" t="s">
        <v>233</v>
      </c>
      <c r="P244" t="s">
        <v>234</v>
      </c>
      <c r="Q244" t="s">
        <v>235</v>
      </c>
      <c r="R244">
        <v>99999</v>
      </c>
      <c r="S244" t="s">
        <v>188</v>
      </c>
      <c r="T244" t="s">
        <v>237</v>
      </c>
      <c r="U244" t="s">
        <v>246</v>
      </c>
      <c r="V244" t="s">
        <v>247</v>
      </c>
      <c r="W244" s="35">
        <v>40</v>
      </c>
      <c r="X244">
        <v>88</v>
      </c>
      <c r="Y244" s="36">
        <v>3520</v>
      </c>
      <c r="Z244" s="35">
        <v>366.08000000000004</v>
      </c>
    </row>
    <row r="245" spans="1:26" x14ac:dyDescent="0.25">
      <c r="A245">
        <v>1281</v>
      </c>
      <c r="B245" s="34">
        <v>41892</v>
      </c>
      <c r="C245">
        <v>10</v>
      </c>
      <c r="D245" t="s">
        <v>255</v>
      </c>
      <c r="E245" t="s">
        <v>256</v>
      </c>
      <c r="F245" t="s">
        <v>257</v>
      </c>
      <c r="G245" t="s">
        <v>258</v>
      </c>
      <c r="H245">
        <v>99999</v>
      </c>
      <c r="I245" t="s">
        <v>188</v>
      </c>
      <c r="J245" t="s">
        <v>259</v>
      </c>
      <c r="K245" t="s">
        <v>203</v>
      </c>
      <c r="L245" s="34">
        <v>41894</v>
      </c>
      <c r="M245" t="s">
        <v>191</v>
      </c>
      <c r="N245" t="s">
        <v>260</v>
      </c>
      <c r="O245" t="s">
        <v>256</v>
      </c>
      <c r="P245" t="s">
        <v>257</v>
      </c>
      <c r="Q245" t="s">
        <v>258</v>
      </c>
      <c r="R245">
        <v>99999</v>
      </c>
      <c r="S245" t="s">
        <v>188</v>
      </c>
      <c r="T245" t="s">
        <v>206</v>
      </c>
      <c r="U245" t="s">
        <v>294</v>
      </c>
      <c r="V245" t="s">
        <v>197</v>
      </c>
      <c r="W245" s="35">
        <v>10</v>
      </c>
      <c r="X245">
        <v>59</v>
      </c>
      <c r="Y245" s="36">
        <v>590</v>
      </c>
      <c r="Z245" s="35">
        <v>59.59</v>
      </c>
    </row>
    <row r="246" spans="1:26" x14ac:dyDescent="0.25">
      <c r="A246">
        <v>1282</v>
      </c>
      <c r="B246" s="34">
        <v>41918</v>
      </c>
      <c r="C246">
        <v>6</v>
      </c>
      <c r="D246" t="s">
        <v>240</v>
      </c>
      <c r="E246" t="s">
        <v>241</v>
      </c>
      <c r="F246" t="s">
        <v>242</v>
      </c>
      <c r="G246" t="s">
        <v>243</v>
      </c>
      <c r="H246">
        <v>99999</v>
      </c>
      <c r="I246" t="s">
        <v>188</v>
      </c>
      <c r="J246" t="s">
        <v>244</v>
      </c>
      <c r="K246" t="s">
        <v>219</v>
      </c>
      <c r="L246" s="34">
        <v>41920</v>
      </c>
      <c r="M246" t="s">
        <v>191</v>
      </c>
      <c r="N246" t="s">
        <v>245</v>
      </c>
      <c r="O246" t="s">
        <v>241</v>
      </c>
      <c r="P246" t="s">
        <v>242</v>
      </c>
      <c r="Q246" t="s">
        <v>243</v>
      </c>
      <c r="R246">
        <v>99999</v>
      </c>
      <c r="S246" t="s">
        <v>188</v>
      </c>
      <c r="T246" t="s">
        <v>206</v>
      </c>
      <c r="U246" t="s">
        <v>246</v>
      </c>
      <c r="V246" t="s">
        <v>247</v>
      </c>
      <c r="W246" s="35">
        <v>40</v>
      </c>
      <c r="X246">
        <v>94</v>
      </c>
      <c r="Y246" s="36">
        <v>3760</v>
      </c>
      <c r="Z246" s="35">
        <v>376</v>
      </c>
    </row>
    <row r="247" spans="1:26" x14ac:dyDescent="0.25">
      <c r="A247">
        <v>1283</v>
      </c>
      <c r="B247" s="34">
        <v>41940</v>
      </c>
      <c r="C247">
        <v>28</v>
      </c>
      <c r="D247" t="s">
        <v>248</v>
      </c>
      <c r="E247" t="s">
        <v>249</v>
      </c>
      <c r="F247" t="s">
        <v>250</v>
      </c>
      <c r="G247" t="s">
        <v>251</v>
      </c>
      <c r="H247">
        <v>99999</v>
      </c>
      <c r="I247" t="s">
        <v>188</v>
      </c>
      <c r="J247" t="s">
        <v>252</v>
      </c>
      <c r="K247" t="s">
        <v>253</v>
      </c>
      <c r="L247" s="34">
        <v>41942</v>
      </c>
      <c r="M247" t="s">
        <v>220</v>
      </c>
      <c r="N247" t="s">
        <v>254</v>
      </c>
      <c r="O247" t="s">
        <v>249</v>
      </c>
      <c r="P247" t="s">
        <v>250</v>
      </c>
      <c r="Q247" t="s">
        <v>251</v>
      </c>
      <c r="R247">
        <v>99999</v>
      </c>
      <c r="S247" t="s">
        <v>188</v>
      </c>
      <c r="T247" t="s">
        <v>193</v>
      </c>
      <c r="U247" t="s">
        <v>213</v>
      </c>
      <c r="V247" t="s">
        <v>195</v>
      </c>
      <c r="W247" s="35">
        <v>46</v>
      </c>
      <c r="X247">
        <v>86</v>
      </c>
      <c r="Y247" s="36">
        <v>3956</v>
      </c>
      <c r="Z247" s="35">
        <v>379.77600000000001</v>
      </c>
    </row>
    <row r="248" spans="1:26" x14ac:dyDescent="0.25">
      <c r="A248">
        <v>1284</v>
      </c>
      <c r="B248" s="34">
        <v>41920</v>
      </c>
      <c r="C248">
        <v>8</v>
      </c>
      <c r="D248" t="s">
        <v>214</v>
      </c>
      <c r="E248" t="s">
        <v>215</v>
      </c>
      <c r="F248" t="s">
        <v>216</v>
      </c>
      <c r="G248" t="s">
        <v>217</v>
      </c>
      <c r="H248">
        <v>99999</v>
      </c>
      <c r="I248" t="s">
        <v>188</v>
      </c>
      <c r="J248" t="s">
        <v>218</v>
      </c>
      <c r="K248" t="s">
        <v>219</v>
      </c>
      <c r="L248" s="34">
        <v>41922</v>
      </c>
      <c r="M248" t="s">
        <v>220</v>
      </c>
      <c r="N248" t="s">
        <v>221</v>
      </c>
      <c r="O248" t="s">
        <v>215</v>
      </c>
      <c r="P248" t="s">
        <v>216</v>
      </c>
      <c r="Q248" t="s">
        <v>217</v>
      </c>
      <c r="R248">
        <v>99999</v>
      </c>
      <c r="S248" t="s">
        <v>188</v>
      </c>
      <c r="T248" t="s">
        <v>193</v>
      </c>
      <c r="U248" t="s">
        <v>230</v>
      </c>
      <c r="V248" t="s">
        <v>231</v>
      </c>
      <c r="W248" s="35">
        <v>12.75</v>
      </c>
      <c r="X248">
        <v>61</v>
      </c>
      <c r="Y248" s="36">
        <v>777.75</v>
      </c>
      <c r="Z248" s="35">
        <v>78.552750000000003</v>
      </c>
    </row>
    <row r="249" spans="1:26" x14ac:dyDescent="0.25">
      <c r="A249">
        <v>1285</v>
      </c>
      <c r="B249" s="34">
        <v>41922</v>
      </c>
      <c r="C249">
        <v>10</v>
      </c>
      <c r="D249" t="s">
        <v>255</v>
      </c>
      <c r="E249" t="s">
        <v>256</v>
      </c>
      <c r="F249" t="s">
        <v>257</v>
      </c>
      <c r="G249" t="s">
        <v>258</v>
      </c>
      <c r="H249">
        <v>99999</v>
      </c>
      <c r="I249" t="s">
        <v>188</v>
      </c>
      <c r="J249" t="s">
        <v>259</v>
      </c>
      <c r="K249" t="s">
        <v>203</v>
      </c>
      <c r="L249" s="34">
        <v>41924</v>
      </c>
      <c r="M249" t="s">
        <v>191</v>
      </c>
      <c r="N249" t="s">
        <v>260</v>
      </c>
      <c r="O249" t="s">
        <v>256</v>
      </c>
      <c r="P249" t="s">
        <v>257</v>
      </c>
      <c r="Q249" t="s">
        <v>258</v>
      </c>
      <c r="R249">
        <v>99999</v>
      </c>
      <c r="S249" t="s">
        <v>188</v>
      </c>
      <c r="T249" t="s">
        <v>206</v>
      </c>
      <c r="U249" t="s">
        <v>261</v>
      </c>
      <c r="V249" t="s">
        <v>195</v>
      </c>
      <c r="W249" s="35">
        <v>2.99</v>
      </c>
      <c r="X249">
        <v>32</v>
      </c>
      <c r="Y249" s="36">
        <v>95.68</v>
      </c>
      <c r="Z249" s="35">
        <v>9.7593600000000009</v>
      </c>
    </row>
    <row r="250" spans="1:26" x14ac:dyDescent="0.25">
      <c r="A250">
        <v>1286</v>
      </c>
      <c r="B250" s="34">
        <v>41919</v>
      </c>
      <c r="C250">
        <v>7</v>
      </c>
      <c r="D250" t="s">
        <v>262</v>
      </c>
      <c r="E250" t="s">
        <v>263</v>
      </c>
      <c r="F250" t="s">
        <v>264</v>
      </c>
      <c r="G250" t="s">
        <v>265</v>
      </c>
      <c r="H250">
        <v>99999</v>
      </c>
      <c r="I250" t="s">
        <v>188</v>
      </c>
      <c r="J250" t="s">
        <v>218</v>
      </c>
      <c r="K250" t="s">
        <v>219</v>
      </c>
      <c r="L250" s="34"/>
      <c r="N250" t="s">
        <v>266</v>
      </c>
      <c r="O250" t="s">
        <v>263</v>
      </c>
      <c r="P250" t="s">
        <v>264</v>
      </c>
      <c r="Q250" t="s">
        <v>265</v>
      </c>
      <c r="R250">
        <v>99999</v>
      </c>
      <c r="S250" t="s">
        <v>188</v>
      </c>
      <c r="U250" t="s">
        <v>213</v>
      </c>
      <c r="V250" t="s">
        <v>195</v>
      </c>
      <c r="W250">
        <v>46</v>
      </c>
      <c r="X250">
        <v>62</v>
      </c>
      <c r="Y250" s="36">
        <v>2852</v>
      </c>
      <c r="Z250" s="35">
        <v>290.904</v>
      </c>
    </row>
    <row r="251" spans="1:26" x14ac:dyDescent="0.25">
      <c r="A251">
        <v>1287</v>
      </c>
      <c r="B251" s="34">
        <v>41922</v>
      </c>
      <c r="C251">
        <v>10</v>
      </c>
      <c r="D251" t="s">
        <v>255</v>
      </c>
      <c r="E251" t="s">
        <v>256</v>
      </c>
      <c r="F251" t="s">
        <v>257</v>
      </c>
      <c r="G251" t="s">
        <v>258</v>
      </c>
      <c r="H251">
        <v>99999</v>
      </c>
      <c r="I251" t="s">
        <v>188</v>
      </c>
      <c r="J251" t="s">
        <v>259</v>
      </c>
      <c r="K251" t="s">
        <v>203</v>
      </c>
      <c r="L251" s="34">
        <v>41924</v>
      </c>
      <c r="M251" t="s">
        <v>204</v>
      </c>
      <c r="N251" t="s">
        <v>260</v>
      </c>
      <c r="O251" t="s">
        <v>256</v>
      </c>
      <c r="P251" t="s">
        <v>257</v>
      </c>
      <c r="Q251" t="s">
        <v>258</v>
      </c>
      <c r="R251">
        <v>99999</v>
      </c>
      <c r="S251" t="s">
        <v>188</v>
      </c>
      <c r="U251" t="s">
        <v>267</v>
      </c>
      <c r="V251" t="s">
        <v>268</v>
      </c>
      <c r="W251">
        <v>25</v>
      </c>
      <c r="X251">
        <v>60</v>
      </c>
      <c r="Y251" s="36">
        <v>1500</v>
      </c>
      <c r="Z251" s="35">
        <v>154.5</v>
      </c>
    </row>
    <row r="252" spans="1:26" x14ac:dyDescent="0.25">
      <c r="A252">
        <v>1288</v>
      </c>
      <c r="B252" s="34">
        <v>41922</v>
      </c>
      <c r="C252">
        <v>10</v>
      </c>
      <c r="D252" t="s">
        <v>255</v>
      </c>
      <c r="E252" t="s">
        <v>256</v>
      </c>
      <c r="F252" t="s">
        <v>257</v>
      </c>
      <c r="G252" t="s">
        <v>258</v>
      </c>
      <c r="H252">
        <v>99999</v>
      </c>
      <c r="I252" t="s">
        <v>188</v>
      </c>
      <c r="J252" t="s">
        <v>259</v>
      </c>
      <c r="K252" t="s">
        <v>203</v>
      </c>
      <c r="L252" s="34">
        <v>41924</v>
      </c>
      <c r="M252" t="s">
        <v>204</v>
      </c>
      <c r="N252" t="s">
        <v>260</v>
      </c>
      <c r="O252" t="s">
        <v>256</v>
      </c>
      <c r="P252" t="s">
        <v>257</v>
      </c>
      <c r="Q252" t="s">
        <v>258</v>
      </c>
      <c r="R252">
        <v>99999</v>
      </c>
      <c r="S252" t="s">
        <v>188</v>
      </c>
      <c r="U252" t="s">
        <v>269</v>
      </c>
      <c r="V252" t="s">
        <v>270</v>
      </c>
      <c r="W252">
        <v>22</v>
      </c>
      <c r="X252">
        <v>51</v>
      </c>
      <c r="Y252" s="36">
        <v>1122</v>
      </c>
      <c r="Z252" s="35">
        <v>109.956</v>
      </c>
    </row>
    <row r="253" spans="1:26" x14ac:dyDescent="0.25">
      <c r="A253">
        <v>1289</v>
      </c>
      <c r="B253" s="34">
        <v>41922</v>
      </c>
      <c r="C253">
        <v>10</v>
      </c>
      <c r="D253" t="s">
        <v>255</v>
      </c>
      <c r="E253" t="s">
        <v>256</v>
      </c>
      <c r="F253" t="s">
        <v>257</v>
      </c>
      <c r="G253" t="s">
        <v>258</v>
      </c>
      <c r="H253">
        <v>99999</v>
      </c>
      <c r="I253" t="s">
        <v>188</v>
      </c>
      <c r="J253" t="s">
        <v>259</v>
      </c>
      <c r="K253" t="s">
        <v>203</v>
      </c>
      <c r="L253" s="34">
        <v>41924</v>
      </c>
      <c r="M253" t="s">
        <v>204</v>
      </c>
      <c r="N253" t="s">
        <v>260</v>
      </c>
      <c r="O253" t="s">
        <v>256</v>
      </c>
      <c r="P253" t="s">
        <v>257</v>
      </c>
      <c r="Q253" t="s">
        <v>258</v>
      </c>
      <c r="R253">
        <v>99999</v>
      </c>
      <c r="S253" t="s">
        <v>188</v>
      </c>
      <c r="U253" t="s">
        <v>222</v>
      </c>
      <c r="V253" t="s">
        <v>223</v>
      </c>
      <c r="W253" s="35">
        <v>9.1999999999999993</v>
      </c>
      <c r="X253">
        <v>49</v>
      </c>
      <c r="Y253" s="36">
        <v>450.79999999999995</v>
      </c>
      <c r="Z253" s="35">
        <v>44.629199999999997</v>
      </c>
    </row>
    <row r="254" spans="1:26" x14ac:dyDescent="0.25">
      <c r="A254">
        <v>1290</v>
      </c>
      <c r="B254" s="34">
        <v>41923</v>
      </c>
      <c r="C254">
        <v>11</v>
      </c>
      <c r="D254" t="s">
        <v>271</v>
      </c>
      <c r="E254" t="s">
        <v>272</v>
      </c>
      <c r="F254" t="s">
        <v>273</v>
      </c>
      <c r="G254" t="s">
        <v>274</v>
      </c>
      <c r="H254">
        <v>99999</v>
      </c>
      <c r="I254" t="s">
        <v>188</v>
      </c>
      <c r="J254" t="s">
        <v>252</v>
      </c>
      <c r="K254" t="s">
        <v>253</v>
      </c>
      <c r="M254" t="s">
        <v>220</v>
      </c>
      <c r="N254" t="s">
        <v>275</v>
      </c>
      <c r="O254" t="s">
        <v>272</v>
      </c>
      <c r="P254" t="s">
        <v>273</v>
      </c>
      <c r="Q254" t="s">
        <v>274</v>
      </c>
      <c r="R254">
        <v>99999</v>
      </c>
      <c r="S254" t="s">
        <v>188</v>
      </c>
      <c r="U254" t="s">
        <v>196</v>
      </c>
      <c r="V254" t="s">
        <v>197</v>
      </c>
      <c r="W254" s="35">
        <v>3.5</v>
      </c>
      <c r="X254">
        <v>20</v>
      </c>
      <c r="Y254" s="36">
        <v>70</v>
      </c>
      <c r="Z254" s="35">
        <v>6.93</v>
      </c>
    </row>
    <row r="255" spans="1:26" x14ac:dyDescent="0.25">
      <c r="A255">
        <v>1291</v>
      </c>
      <c r="B255" s="34">
        <v>41923</v>
      </c>
      <c r="C255">
        <v>11</v>
      </c>
      <c r="D255" t="s">
        <v>271</v>
      </c>
      <c r="E255" t="s">
        <v>272</v>
      </c>
      <c r="F255" t="s">
        <v>273</v>
      </c>
      <c r="G255" t="s">
        <v>274</v>
      </c>
      <c r="H255">
        <v>99999</v>
      </c>
      <c r="I255" t="s">
        <v>188</v>
      </c>
      <c r="J255" t="s">
        <v>252</v>
      </c>
      <c r="K255" t="s">
        <v>253</v>
      </c>
      <c r="M255" t="s">
        <v>220</v>
      </c>
      <c r="N255" t="s">
        <v>275</v>
      </c>
      <c r="O255" t="s">
        <v>272</v>
      </c>
      <c r="P255" t="s">
        <v>273</v>
      </c>
      <c r="Q255" t="s">
        <v>274</v>
      </c>
      <c r="R255">
        <v>99999</v>
      </c>
      <c r="S255" t="s">
        <v>188</v>
      </c>
      <c r="U255" t="s">
        <v>261</v>
      </c>
      <c r="V255" t="s">
        <v>195</v>
      </c>
      <c r="W255" s="35">
        <v>2.99</v>
      </c>
      <c r="X255">
        <v>49</v>
      </c>
      <c r="Y255" s="36">
        <v>146.51000000000002</v>
      </c>
      <c r="Z255" s="35">
        <v>14.651000000000003</v>
      </c>
    </row>
    <row r="256" spans="1:26" x14ac:dyDescent="0.25">
      <c r="A256">
        <v>1292</v>
      </c>
      <c r="B256" s="34">
        <v>41913</v>
      </c>
      <c r="C256">
        <v>1</v>
      </c>
      <c r="D256" t="s">
        <v>276</v>
      </c>
      <c r="E256" t="s">
        <v>277</v>
      </c>
      <c r="F256" t="s">
        <v>278</v>
      </c>
      <c r="G256" t="s">
        <v>279</v>
      </c>
      <c r="H256">
        <v>99999</v>
      </c>
      <c r="I256" t="s">
        <v>188</v>
      </c>
      <c r="J256" t="s">
        <v>218</v>
      </c>
      <c r="K256" t="s">
        <v>219</v>
      </c>
      <c r="N256" t="s">
        <v>280</v>
      </c>
      <c r="O256" t="s">
        <v>277</v>
      </c>
      <c r="P256" t="s">
        <v>278</v>
      </c>
      <c r="Q256" t="s">
        <v>279</v>
      </c>
      <c r="R256">
        <v>99999</v>
      </c>
      <c r="S256" t="s">
        <v>188</v>
      </c>
      <c r="U256" t="s">
        <v>212</v>
      </c>
      <c r="V256" t="s">
        <v>195</v>
      </c>
      <c r="W256" s="35">
        <v>18</v>
      </c>
      <c r="X256">
        <v>22</v>
      </c>
      <c r="Y256" s="36">
        <v>396</v>
      </c>
      <c r="Z256" s="35">
        <v>38.015999999999998</v>
      </c>
    </row>
    <row r="257" spans="1:26" x14ac:dyDescent="0.25">
      <c r="A257">
        <v>1293</v>
      </c>
      <c r="B257" s="34">
        <v>41913</v>
      </c>
      <c r="C257">
        <v>1</v>
      </c>
      <c r="D257" t="s">
        <v>276</v>
      </c>
      <c r="E257" t="s">
        <v>277</v>
      </c>
      <c r="F257" t="s">
        <v>278</v>
      </c>
      <c r="G257" t="s">
        <v>279</v>
      </c>
      <c r="H257">
        <v>99999</v>
      </c>
      <c r="I257" t="s">
        <v>188</v>
      </c>
      <c r="J257" t="s">
        <v>218</v>
      </c>
      <c r="K257" t="s">
        <v>219</v>
      </c>
      <c r="N257" t="s">
        <v>280</v>
      </c>
      <c r="O257" t="s">
        <v>277</v>
      </c>
      <c r="P257" t="s">
        <v>278</v>
      </c>
      <c r="Q257" t="s">
        <v>279</v>
      </c>
      <c r="R257">
        <v>99999</v>
      </c>
      <c r="S257" t="s">
        <v>188</v>
      </c>
      <c r="U257" t="s">
        <v>213</v>
      </c>
      <c r="V257" t="s">
        <v>195</v>
      </c>
      <c r="W257" s="35">
        <v>46</v>
      </c>
      <c r="X257">
        <v>73</v>
      </c>
      <c r="Y257" s="36">
        <v>3358</v>
      </c>
      <c r="Z257" s="35">
        <v>339.15800000000002</v>
      </c>
    </row>
    <row r="258" spans="1:26" x14ac:dyDescent="0.25">
      <c r="A258">
        <v>1294</v>
      </c>
      <c r="B258" s="34">
        <v>41913</v>
      </c>
      <c r="C258">
        <v>1</v>
      </c>
      <c r="D258" t="s">
        <v>276</v>
      </c>
      <c r="E258" t="s">
        <v>277</v>
      </c>
      <c r="F258" t="s">
        <v>278</v>
      </c>
      <c r="G258" t="s">
        <v>279</v>
      </c>
      <c r="H258">
        <v>99999</v>
      </c>
      <c r="I258" t="s">
        <v>188</v>
      </c>
      <c r="J258" t="s">
        <v>218</v>
      </c>
      <c r="K258" t="s">
        <v>219</v>
      </c>
      <c r="N258" t="s">
        <v>280</v>
      </c>
      <c r="O258" t="s">
        <v>277</v>
      </c>
      <c r="P258" t="s">
        <v>278</v>
      </c>
      <c r="Q258" t="s">
        <v>279</v>
      </c>
      <c r="R258">
        <v>99999</v>
      </c>
      <c r="S258" t="s">
        <v>188</v>
      </c>
      <c r="U258" t="s">
        <v>261</v>
      </c>
      <c r="V258" t="s">
        <v>195</v>
      </c>
      <c r="W258" s="35">
        <v>2.99</v>
      </c>
      <c r="X258">
        <v>85</v>
      </c>
      <c r="Y258" s="36">
        <v>254.15</v>
      </c>
      <c r="Z258" s="35">
        <v>24.652550000000002</v>
      </c>
    </row>
    <row r="259" spans="1:26" x14ac:dyDescent="0.25">
      <c r="A259">
        <v>1295</v>
      </c>
      <c r="B259" s="34">
        <v>41940</v>
      </c>
      <c r="C259">
        <v>28</v>
      </c>
      <c r="D259" t="s">
        <v>248</v>
      </c>
      <c r="E259" t="s">
        <v>249</v>
      </c>
      <c r="F259" t="s">
        <v>250</v>
      </c>
      <c r="G259" t="s">
        <v>251</v>
      </c>
      <c r="H259">
        <v>99999</v>
      </c>
      <c r="I259" t="s">
        <v>188</v>
      </c>
      <c r="J259" t="s">
        <v>252</v>
      </c>
      <c r="K259" t="s">
        <v>253</v>
      </c>
      <c r="L259" s="34">
        <v>41942</v>
      </c>
      <c r="M259" t="s">
        <v>220</v>
      </c>
      <c r="N259" t="s">
        <v>254</v>
      </c>
      <c r="O259" t="s">
        <v>249</v>
      </c>
      <c r="P259" t="s">
        <v>250</v>
      </c>
      <c r="Q259" t="s">
        <v>251</v>
      </c>
      <c r="R259">
        <v>99999</v>
      </c>
      <c r="S259" t="s">
        <v>188</v>
      </c>
      <c r="T259" t="s">
        <v>206</v>
      </c>
      <c r="U259" t="s">
        <v>238</v>
      </c>
      <c r="V259" t="s">
        <v>239</v>
      </c>
      <c r="W259" s="35">
        <v>9.65</v>
      </c>
      <c r="X259">
        <v>44</v>
      </c>
      <c r="Y259" s="36">
        <v>424.6</v>
      </c>
      <c r="Z259" s="35">
        <v>44.158400000000007</v>
      </c>
    </row>
    <row r="260" spans="1:26" x14ac:dyDescent="0.25">
      <c r="A260">
        <v>1296</v>
      </c>
      <c r="B260" s="34">
        <v>41940</v>
      </c>
      <c r="C260">
        <v>28</v>
      </c>
      <c r="D260" t="s">
        <v>248</v>
      </c>
      <c r="E260" t="s">
        <v>249</v>
      </c>
      <c r="F260" t="s">
        <v>250</v>
      </c>
      <c r="G260" t="s">
        <v>251</v>
      </c>
      <c r="H260">
        <v>99999</v>
      </c>
      <c r="I260" t="s">
        <v>188</v>
      </c>
      <c r="J260" t="s">
        <v>252</v>
      </c>
      <c r="K260" t="s">
        <v>253</v>
      </c>
      <c r="L260" s="34">
        <v>41942</v>
      </c>
      <c r="M260" t="s">
        <v>220</v>
      </c>
      <c r="N260" t="s">
        <v>254</v>
      </c>
      <c r="O260" t="s">
        <v>249</v>
      </c>
      <c r="P260" t="s">
        <v>250</v>
      </c>
      <c r="Q260" t="s">
        <v>251</v>
      </c>
      <c r="R260">
        <v>99999</v>
      </c>
      <c r="S260" t="s">
        <v>188</v>
      </c>
      <c r="T260" t="s">
        <v>206</v>
      </c>
      <c r="U260" t="s">
        <v>281</v>
      </c>
      <c r="V260" t="s">
        <v>282</v>
      </c>
      <c r="W260" s="35">
        <v>18.399999999999999</v>
      </c>
      <c r="X260">
        <v>24</v>
      </c>
      <c r="Y260" s="36">
        <v>441.59999999999997</v>
      </c>
      <c r="Z260" s="35">
        <v>42.835199999999993</v>
      </c>
    </row>
    <row r="261" spans="1:26" x14ac:dyDescent="0.25">
      <c r="A261">
        <v>1297</v>
      </c>
      <c r="B261" s="34">
        <v>41921</v>
      </c>
      <c r="C261">
        <v>9</v>
      </c>
      <c r="D261" t="s">
        <v>283</v>
      </c>
      <c r="E261" t="s">
        <v>284</v>
      </c>
      <c r="F261" t="s">
        <v>285</v>
      </c>
      <c r="G261" t="s">
        <v>286</v>
      </c>
      <c r="H261">
        <v>99999</v>
      </c>
      <c r="I261" t="s">
        <v>188</v>
      </c>
      <c r="J261" t="s">
        <v>287</v>
      </c>
      <c r="K261" t="s">
        <v>190</v>
      </c>
      <c r="L261" s="34">
        <v>41923</v>
      </c>
      <c r="M261" t="s">
        <v>204</v>
      </c>
      <c r="N261" t="s">
        <v>288</v>
      </c>
      <c r="O261" t="s">
        <v>284</v>
      </c>
      <c r="P261" t="s">
        <v>285</v>
      </c>
      <c r="Q261" t="s">
        <v>286</v>
      </c>
      <c r="R261">
        <v>99999</v>
      </c>
      <c r="S261" t="s">
        <v>188</v>
      </c>
      <c r="T261" t="s">
        <v>193</v>
      </c>
      <c r="U261" t="s">
        <v>289</v>
      </c>
      <c r="V261" t="s">
        <v>290</v>
      </c>
      <c r="W261" s="35">
        <v>19.5</v>
      </c>
      <c r="X261">
        <v>64</v>
      </c>
      <c r="Y261" s="36">
        <v>1248</v>
      </c>
      <c r="Z261" s="35">
        <v>119.80800000000001</v>
      </c>
    </row>
    <row r="262" spans="1:26" x14ac:dyDescent="0.25">
      <c r="A262">
        <v>1298</v>
      </c>
      <c r="B262" s="34">
        <v>41921</v>
      </c>
      <c r="C262">
        <v>9</v>
      </c>
      <c r="D262" t="s">
        <v>283</v>
      </c>
      <c r="E262" t="s">
        <v>284</v>
      </c>
      <c r="F262" t="s">
        <v>285</v>
      </c>
      <c r="G262" t="s">
        <v>286</v>
      </c>
      <c r="H262">
        <v>99999</v>
      </c>
      <c r="I262" t="s">
        <v>188</v>
      </c>
      <c r="J262" t="s">
        <v>287</v>
      </c>
      <c r="K262" t="s">
        <v>190</v>
      </c>
      <c r="L262" s="34">
        <v>41923</v>
      </c>
      <c r="M262" t="s">
        <v>204</v>
      </c>
      <c r="N262" t="s">
        <v>288</v>
      </c>
      <c r="O262" t="s">
        <v>284</v>
      </c>
      <c r="P262" t="s">
        <v>285</v>
      </c>
      <c r="Q262" t="s">
        <v>286</v>
      </c>
      <c r="R262">
        <v>99999</v>
      </c>
      <c r="S262" t="s">
        <v>188</v>
      </c>
      <c r="T262" t="s">
        <v>193</v>
      </c>
      <c r="U262" t="s">
        <v>291</v>
      </c>
      <c r="V262" t="s">
        <v>292</v>
      </c>
      <c r="W262" s="35">
        <v>34.799999999999997</v>
      </c>
      <c r="X262">
        <v>70</v>
      </c>
      <c r="Y262" s="36">
        <v>2436</v>
      </c>
      <c r="Z262" s="35">
        <v>246.03600000000003</v>
      </c>
    </row>
    <row r="263" spans="1:26" x14ac:dyDescent="0.25">
      <c r="A263">
        <v>1299</v>
      </c>
      <c r="B263" s="34">
        <v>41918</v>
      </c>
      <c r="C263">
        <v>6</v>
      </c>
      <c r="D263" t="s">
        <v>240</v>
      </c>
      <c r="E263" t="s">
        <v>241</v>
      </c>
      <c r="F263" t="s">
        <v>242</v>
      </c>
      <c r="G263" t="s">
        <v>243</v>
      </c>
      <c r="H263">
        <v>99999</v>
      </c>
      <c r="I263" t="s">
        <v>188</v>
      </c>
      <c r="J263" t="s">
        <v>244</v>
      </c>
      <c r="K263" t="s">
        <v>219</v>
      </c>
      <c r="L263" s="34">
        <v>41920</v>
      </c>
      <c r="M263" t="s">
        <v>191</v>
      </c>
      <c r="N263" t="s">
        <v>245</v>
      </c>
      <c r="O263" t="s">
        <v>241</v>
      </c>
      <c r="P263" t="s">
        <v>242</v>
      </c>
      <c r="Q263" t="s">
        <v>243</v>
      </c>
      <c r="R263">
        <v>99999</v>
      </c>
      <c r="S263" t="s">
        <v>188</v>
      </c>
      <c r="T263" t="s">
        <v>206</v>
      </c>
      <c r="U263" t="s">
        <v>194</v>
      </c>
      <c r="V263" t="s">
        <v>195</v>
      </c>
      <c r="W263" s="35">
        <v>14</v>
      </c>
      <c r="X263">
        <v>98</v>
      </c>
      <c r="Y263" s="36">
        <v>1372</v>
      </c>
      <c r="Z263" s="35">
        <v>138.57200000000003</v>
      </c>
    </row>
    <row r="264" spans="1:26" x14ac:dyDescent="0.25">
      <c r="A264">
        <v>1300</v>
      </c>
      <c r="B264" s="34">
        <v>41920</v>
      </c>
      <c r="C264">
        <v>8</v>
      </c>
      <c r="D264" t="s">
        <v>214</v>
      </c>
      <c r="E264" t="s">
        <v>215</v>
      </c>
      <c r="F264" t="s">
        <v>216</v>
      </c>
      <c r="G264" t="s">
        <v>217</v>
      </c>
      <c r="H264">
        <v>99999</v>
      </c>
      <c r="I264" t="s">
        <v>188</v>
      </c>
      <c r="J264" t="s">
        <v>218</v>
      </c>
      <c r="K264" t="s">
        <v>219</v>
      </c>
      <c r="L264" s="34">
        <v>41922</v>
      </c>
      <c r="M264" t="s">
        <v>191</v>
      </c>
      <c r="N264" t="s">
        <v>221</v>
      </c>
      <c r="O264" t="s">
        <v>215</v>
      </c>
      <c r="P264" t="s">
        <v>216</v>
      </c>
      <c r="Q264" t="s">
        <v>217</v>
      </c>
      <c r="R264">
        <v>99999</v>
      </c>
      <c r="S264" t="s">
        <v>188</v>
      </c>
      <c r="T264" t="s">
        <v>193</v>
      </c>
      <c r="U264" t="s">
        <v>246</v>
      </c>
      <c r="V264" t="s">
        <v>247</v>
      </c>
      <c r="W264" s="35">
        <v>40</v>
      </c>
      <c r="X264">
        <v>48</v>
      </c>
      <c r="Y264" s="36">
        <v>1920</v>
      </c>
      <c r="Z264" s="35">
        <v>188.16</v>
      </c>
    </row>
    <row r="265" spans="1:26" x14ac:dyDescent="0.25">
      <c r="A265">
        <v>1301</v>
      </c>
      <c r="B265" s="34">
        <v>41920</v>
      </c>
      <c r="C265">
        <v>8</v>
      </c>
      <c r="D265" t="s">
        <v>214</v>
      </c>
      <c r="E265" t="s">
        <v>215</v>
      </c>
      <c r="F265" t="s">
        <v>216</v>
      </c>
      <c r="G265" t="s">
        <v>217</v>
      </c>
      <c r="H265">
        <v>99999</v>
      </c>
      <c r="I265" t="s">
        <v>188</v>
      </c>
      <c r="J265" t="s">
        <v>218</v>
      </c>
      <c r="K265" t="s">
        <v>219</v>
      </c>
      <c r="L265" s="34">
        <v>41922</v>
      </c>
      <c r="M265" t="s">
        <v>191</v>
      </c>
      <c r="N265" t="s">
        <v>221</v>
      </c>
      <c r="O265" t="s">
        <v>215</v>
      </c>
      <c r="P265" t="s">
        <v>216</v>
      </c>
      <c r="Q265" t="s">
        <v>217</v>
      </c>
      <c r="R265">
        <v>99999</v>
      </c>
      <c r="S265" t="s">
        <v>188</v>
      </c>
      <c r="T265" t="s">
        <v>193</v>
      </c>
      <c r="U265" t="s">
        <v>222</v>
      </c>
      <c r="V265" t="s">
        <v>223</v>
      </c>
      <c r="W265" s="35">
        <v>9.1999999999999993</v>
      </c>
      <c r="X265">
        <v>100</v>
      </c>
      <c r="Y265" s="36">
        <v>919.99999999999989</v>
      </c>
      <c r="Z265" s="35">
        <v>91.08</v>
      </c>
    </row>
    <row r="266" spans="1:26" x14ac:dyDescent="0.25">
      <c r="A266">
        <v>1302</v>
      </c>
      <c r="B266" s="34">
        <v>41937</v>
      </c>
      <c r="C266">
        <v>25</v>
      </c>
      <c r="D266" t="s">
        <v>295</v>
      </c>
      <c r="E266" t="s">
        <v>296</v>
      </c>
      <c r="F266" t="s">
        <v>257</v>
      </c>
      <c r="G266" t="s">
        <v>258</v>
      </c>
      <c r="H266">
        <v>99999</v>
      </c>
      <c r="I266" t="s">
        <v>188</v>
      </c>
      <c r="J266" t="s">
        <v>259</v>
      </c>
      <c r="K266" t="s">
        <v>203</v>
      </c>
      <c r="L266" s="34">
        <v>41939</v>
      </c>
      <c r="M266" t="s">
        <v>204</v>
      </c>
      <c r="N266" t="s">
        <v>297</v>
      </c>
      <c r="O266" t="s">
        <v>296</v>
      </c>
      <c r="P266" t="s">
        <v>257</v>
      </c>
      <c r="Q266" t="s">
        <v>258</v>
      </c>
      <c r="R266">
        <v>99999</v>
      </c>
      <c r="S266" t="s">
        <v>188</v>
      </c>
      <c r="T266" t="s">
        <v>237</v>
      </c>
      <c r="U266" t="s">
        <v>304</v>
      </c>
      <c r="V266" t="s">
        <v>223</v>
      </c>
      <c r="W266" s="35">
        <v>10</v>
      </c>
      <c r="X266">
        <v>90</v>
      </c>
      <c r="Y266" s="36">
        <v>900</v>
      </c>
      <c r="Z266" s="35">
        <v>87.3</v>
      </c>
    </row>
    <row r="267" spans="1:26" x14ac:dyDescent="0.25">
      <c r="A267">
        <v>1303</v>
      </c>
      <c r="B267" s="34">
        <v>41938</v>
      </c>
      <c r="C267">
        <v>26</v>
      </c>
      <c r="D267" t="s">
        <v>298</v>
      </c>
      <c r="E267" t="s">
        <v>299</v>
      </c>
      <c r="F267" t="s">
        <v>273</v>
      </c>
      <c r="G267" t="s">
        <v>274</v>
      </c>
      <c r="H267">
        <v>99999</v>
      </c>
      <c r="I267" t="s">
        <v>188</v>
      </c>
      <c r="J267" t="s">
        <v>252</v>
      </c>
      <c r="K267" t="s">
        <v>253</v>
      </c>
      <c r="L267" s="34">
        <v>41940</v>
      </c>
      <c r="M267" t="s">
        <v>220</v>
      </c>
      <c r="N267" t="s">
        <v>300</v>
      </c>
      <c r="O267" t="s">
        <v>299</v>
      </c>
      <c r="P267" t="s">
        <v>273</v>
      </c>
      <c r="Q267" t="s">
        <v>274</v>
      </c>
      <c r="R267">
        <v>99999</v>
      </c>
      <c r="S267" t="s">
        <v>188</v>
      </c>
      <c r="T267" t="s">
        <v>206</v>
      </c>
      <c r="U267" t="s">
        <v>305</v>
      </c>
      <c r="V267" t="s">
        <v>306</v>
      </c>
      <c r="W267" s="35">
        <v>21.35</v>
      </c>
      <c r="X267">
        <v>49</v>
      </c>
      <c r="Y267" s="36">
        <v>1046.1500000000001</v>
      </c>
      <c r="Z267" s="35">
        <v>102.5227</v>
      </c>
    </row>
    <row r="268" spans="1:26" x14ac:dyDescent="0.25">
      <c r="A268">
        <v>1304</v>
      </c>
      <c r="B268" s="34">
        <v>41938</v>
      </c>
      <c r="C268">
        <v>26</v>
      </c>
      <c r="D268" t="s">
        <v>298</v>
      </c>
      <c r="E268" t="s">
        <v>299</v>
      </c>
      <c r="F268" t="s">
        <v>273</v>
      </c>
      <c r="G268" t="s">
        <v>274</v>
      </c>
      <c r="H268">
        <v>99999</v>
      </c>
      <c r="I268" t="s">
        <v>188</v>
      </c>
      <c r="J268" t="s">
        <v>252</v>
      </c>
      <c r="K268" t="s">
        <v>253</v>
      </c>
      <c r="L268" s="34">
        <v>41940</v>
      </c>
      <c r="M268" t="s">
        <v>220</v>
      </c>
      <c r="N268" t="s">
        <v>300</v>
      </c>
      <c r="O268" t="s">
        <v>299</v>
      </c>
      <c r="P268" t="s">
        <v>273</v>
      </c>
      <c r="Q268" t="s">
        <v>274</v>
      </c>
      <c r="R268">
        <v>99999</v>
      </c>
      <c r="S268" t="s">
        <v>188</v>
      </c>
      <c r="T268" t="s">
        <v>206</v>
      </c>
      <c r="U268" t="s">
        <v>238</v>
      </c>
      <c r="V268" t="s">
        <v>239</v>
      </c>
      <c r="W268" s="35">
        <v>9.65</v>
      </c>
      <c r="X268">
        <v>71</v>
      </c>
      <c r="Y268" s="36">
        <v>685.15</v>
      </c>
      <c r="Z268" s="35">
        <v>65.7744</v>
      </c>
    </row>
    <row r="269" spans="1:26" x14ac:dyDescent="0.25">
      <c r="A269">
        <v>1305</v>
      </c>
      <c r="B269" s="34">
        <v>41938</v>
      </c>
      <c r="C269">
        <v>26</v>
      </c>
      <c r="D269" t="s">
        <v>298</v>
      </c>
      <c r="E269" t="s">
        <v>299</v>
      </c>
      <c r="F269" t="s">
        <v>273</v>
      </c>
      <c r="G269" t="s">
        <v>274</v>
      </c>
      <c r="H269">
        <v>99999</v>
      </c>
      <c r="I269" t="s">
        <v>188</v>
      </c>
      <c r="J269" t="s">
        <v>252</v>
      </c>
      <c r="K269" t="s">
        <v>253</v>
      </c>
      <c r="L269" s="34">
        <v>41940</v>
      </c>
      <c r="M269" t="s">
        <v>220</v>
      </c>
      <c r="N269" t="s">
        <v>300</v>
      </c>
      <c r="O269" t="s">
        <v>299</v>
      </c>
      <c r="P269" t="s">
        <v>273</v>
      </c>
      <c r="Q269" t="s">
        <v>274</v>
      </c>
      <c r="R269">
        <v>99999</v>
      </c>
      <c r="S269" t="s">
        <v>188</v>
      </c>
      <c r="T269" t="s">
        <v>206</v>
      </c>
      <c r="U269" t="s">
        <v>281</v>
      </c>
      <c r="V269" t="s">
        <v>282</v>
      </c>
      <c r="W269" s="35">
        <v>18.399999999999999</v>
      </c>
      <c r="X269">
        <v>10</v>
      </c>
      <c r="Y269" s="36">
        <v>184</v>
      </c>
      <c r="Z269" s="35">
        <v>19.136000000000003</v>
      </c>
    </row>
    <row r="270" spans="1:26" x14ac:dyDescent="0.25">
      <c r="A270">
        <v>1306</v>
      </c>
      <c r="B270" s="34">
        <v>41941</v>
      </c>
      <c r="C270">
        <v>29</v>
      </c>
      <c r="D270" t="s">
        <v>224</v>
      </c>
      <c r="E270" t="s">
        <v>225</v>
      </c>
      <c r="F270" t="s">
        <v>226</v>
      </c>
      <c r="G270" t="s">
        <v>227</v>
      </c>
      <c r="H270">
        <v>99999</v>
      </c>
      <c r="I270" t="s">
        <v>188</v>
      </c>
      <c r="J270" t="s">
        <v>228</v>
      </c>
      <c r="K270" t="s">
        <v>190</v>
      </c>
      <c r="L270" s="34">
        <v>41943</v>
      </c>
      <c r="M270" t="s">
        <v>191</v>
      </c>
      <c r="N270" t="s">
        <v>229</v>
      </c>
      <c r="O270" t="s">
        <v>225</v>
      </c>
      <c r="P270" t="s">
        <v>226</v>
      </c>
      <c r="Q270" t="s">
        <v>227</v>
      </c>
      <c r="R270">
        <v>99999</v>
      </c>
      <c r="S270" t="s">
        <v>188</v>
      </c>
      <c r="T270" t="s">
        <v>193</v>
      </c>
      <c r="U270" t="s">
        <v>194</v>
      </c>
      <c r="V270" t="s">
        <v>195</v>
      </c>
      <c r="W270" s="35">
        <v>14</v>
      </c>
      <c r="X270">
        <v>78</v>
      </c>
      <c r="Y270" s="36">
        <v>1092</v>
      </c>
      <c r="Z270" s="35">
        <v>112.476</v>
      </c>
    </row>
    <row r="271" spans="1:26" x14ac:dyDescent="0.25">
      <c r="A271">
        <v>1307</v>
      </c>
      <c r="B271" s="34">
        <v>41918</v>
      </c>
      <c r="C271">
        <v>6</v>
      </c>
      <c r="D271" t="s">
        <v>240</v>
      </c>
      <c r="E271" t="s">
        <v>241</v>
      </c>
      <c r="F271" t="s">
        <v>242</v>
      </c>
      <c r="G271" t="s">
        <v>243</v>
      </c>
      <c r="H271">
        <v>99999</v>
      </c>
      <c r="I271" t="s">
        <v>188</v>
      </c>
      <c r="J271" t="s">
        <v>244</v>
      </c>
      <c r="K271" t="s">
        <v>219</v>
      </c>
      <c r="L271" s="34">
        <v>41920</v>
      </c>
      <c r="M271" t="s">
        <v>220</v>
      </c>
      <c r="N271" t="s">
        <v>245</v>
      </c>
      <c r="O271" t="s">
        <v>241</v>
      </c>
      <c r="P271" t="s">
        <v>242</v>
      </c>
      <c r="Q271" t="s">
        <v>243</v>
      </c>
      <c r="R271">
        <v>99999</v>
      </c>
      <c r="S271" t="s">
        <v>188</v>
      </c>
      <c r="T271" t="s">
        <v>193</v>
      </c>
      <c r="U271" t="s">
        <v>230</v>
      </c>
      <c r="V271" t="s">
        <v>231</v>
      </c>
      <c r="W271" s="35">
        <v>12.75</v>
      </c>
      <c r="X271">
        <v>44</v>
      </c>
      <c r="Y271" s="36">
        <v>561</v>
      </c>
      <c r="Z271" s="35">
        <v>53.856000000000002</v>
      </c>
    </row>
    <row r="272" spans="1:26" x14ac:dyDescent="0.25">
      <c r="A272">
        <v>1309</v>
      </c>
      <c r="B272" s="34">
        <v>41916</v>
      </c>
      <c r="C272">
        <v>4</v>
      </c>
      <c r="D272" t="s">
        <v>198</v>
      </c>
      <c r="E272" t="s">
        <v>199</v>
      </c>
      <c r="F272" t="s">
        <v>200</v>
      </c>
      <c r="G272" t="s">
        <v>201</v>
      </c>
      <c r="H272">
        <v>99999</v>
      </c>
      <c r="I272" t="s">
        <v>188</v>
      </c>
      <c r="J272" t="s">
        <v>202</v>
      </c>
      <c r="K272" t="s">
        <v>203</v>
      </c>
      <c r="L272" s="34">
        <v>41918</v>
      </c>
      <c r="M272" t="s">
        <v>204</v>
      </c>
      <c r="N272" t="s">
        <v>205</v>
      </c>
      <c r="O272" t="s">
        <v>199</v>
      </c>
      <c r="P272" t="s">
        <v>200</v>
      </c>
      <c r="Q272" t="s">
        <v>201</v>
      </c>
      <c r="R272">
        <v>99999</v>
      </c>
      <c r="S272" t="s">
        <v>188</v>
      </c>
      <c r="T272" t="s">
        <v>206</v>
      </c>
      <c r="U272" t="s">
        <v>307</v>
      </c>
      <c r="V272" t="s">
        <v>268</v>
      </c>
      <c r="W272">
        <v>81</v>
      </c>
      <c r="X272">
        <v>82</v>
      </c>
      <c r="Y272" s="36">
        <v>6642</v>
      </c>
      <c r="Z272" s="35">
        <v>697.41000000000008</v>
      </c>
    </row>
    <row r="273" spans="1:26" x14ac:dyDescent="0.25">
      <c r="A273">
        <v>1310</v>
      </c>
      <c r="B273" s="34">
        <v>41916</v>
      </c>
      <c r="C273">
        <v>4</v>
      </c>
      <c r="D273" t="s">
        <v>198</v>
      </c>
      <c r="E273" t="s">
        <v>199</v>
      </c>
      <c r="F273" t="s">
        <v>200</v>
      </c>
      <c r="G273" t="s">
        <v>201</v>
      </c>
      <c r="H273">
        <v>99999</v>
      </c>
      <c r="I273" t="s">
        <v>188</v>
      </c>
      <c r="J273" t="s">
        <v>202</v>
      </c>
      <c r="K273" t="s">
        <v>203</v>
      </c>
      <c r="L273" s="34">
        <v>41918</v>
      </c>
      <c r="M273" t="s">
        <v>204</v>
      </c>
      <c r="N273" t="s">
        <v>205</v>
      </c>
      <c r="O273" t="s">
        <v>199</v>
      </c>
      <c r="P273" t="s">
        <v>200</v>
      </c>
      <c r="Q273" t="s">
        <v>201</v>
      </c>
      <c r="R273">
        <v>99999</v>
      </c>
      <c r="S273" t="s">
        <v>188</v>
      </c>
      <c r="T273" t="s">
        <v>206</v>
      </c>
      <c r="U273" t="s">
        <v>308</v>
      </c>
      <c r="V273" t="s">
        <v>309</v>
      </c>
      <c r="W273">
        <v>7</v>
      </c>
      <c r="X273">
        <v>29</v>
      </c>
      <c r="Y273" s="36">
        <v>203</v>
      </c>
      <c r="Z273" s="35">
        <v>20.3</v>
      </c>
    </row>
    <row r="274" spans="1:26" x14ac:dyDescent="0.25">
      <c r="A274">
        <v>1312</v>
      </c>
      <c r="B274" s="34">
        <v>41920</v>
      </c>
      <c r="C274">
        <v>8</v>
      </c>
      <c r="D274" t="s">
        <v>214</v>
      </c>
      <c r="E274" t="s">
        <v>215</v>
      </c>
      <c r="F274" t="s">
        <v>216</v>
      </c>
      <c r="G274" t="s">
        <v>217</v>
      </c>
      <c r="H274">
        <v>99999</v>
      </c>
      <c r="I274" t="s">
        <v>188</v>
      </c>
      <c r="J274" t="s">
        <v>218</v>
      </c>
      <c r="K274" t="s">
        <v>219</v>
      </c>
      <c r="L274" s="34">
        <v>41922</v>
      </c>
      <c r="M274" t="s">
        <v>220</v>
      </c>
      <c r="N274" t="s">
        <v>221</v>
      </c>
      <c r="O274" t="s">
        <v>215</v>
      </c>
      <c r="P274" t="s">
        <v>216</v>
      </c>
      <c r="Q274" t="s">
        <v>217</v>
      </c>
      <c r="R274">
        <v>99999</v>
      </c>
      <c r="S274" t="s">
        <v>188</v>
      </c>
      <c r="T274" t="s">
        <v>206</v>
      </c>
      <c r="U274" t="s">
        <v>291</v>
      </c>
      <c r="V274" t="s">
        <v>292</v>
      </c>
      <c r="W274">
        <v>34.799999999999997</v>
      </c>
      <c r="X274">
        <v>93</v>
      </c>
      <c r="Y274" s="36">
        <v>3236.3999999999996</v>
      </c>
      <c r="Z274" s="35">
        <v>313.93079999999998</v>
      </c>
    </row>
    <row r="275" spans="1:26" x14ac:dyDescent="0.25">
      <c r="A275">
        <v>1315</v>
      </c>
      <c r="B275" s="34">
        <v>41915</v>
      </c>
      <c r="C275">
        <v>3</v>
      </c>
      <c r="D275" t="s">
        <v>232</v>
      </c>
      <c r="E275" t="s">
        <v>233</v>
      </c>
      <c r="F275" t="s">
        <v>234</v>
      </c>
      <c r="G275" t="s">
        <v>235</v>
      </c>
      <c r="H275">
        <v>99999</v>
      </c>
      <c r="I275" t="s">
        <v>188</v>
      </c>
      <c r="J275" t="s">
        <v>189</v>
      </c>
      <c r="K275" t="s">
        <v>190</v>
      </c>
      <c r="L275" s="34">
        <v>41917</v>
      </c>
      <c r="M275" t="s">
        <v>191</v>
      </c>
      <c r="N275" t="s">
        <v>236</v>
      </c>
      <c r="O275" t="s">
        <v>233</v>
      </c>
      <c r="P275" t="s">
        <v>234</v>
      </c>
      <c r="Q275" t="s">
        <v>235</v>
      </c>
      <c r="R275">
        <v>99999</v>
      </c>
      <c r="S275" t="s">
        <v>188</v>
      </c>
      <c r="T275" t="s">
        <v>237</v>
      </c>
      <c r="U275" t="s">
        <v>293</v>
      </c>
      <c r="V275" t="s">
        <v>270</v>
      </c>
      <c r="W275">
        <v>10</v>
      </c>
      <c r="X275">
        <v>11</v>
      </c>
      <c r="Y275" s="36">
        <v>110</v>
      </c>
      <c r="Z275" s="35">
        <v>11.440000000000001</v>
      </c>
    </row>
    <row r="276" spans="1:26" x14ac:dyDescent="0.25">
      <c r="A276">
        <v>1316</v>
      </c>
      <c r="B276" s="34">
        <v>41915</v>
      </c>
      <c r="C276">
        <v>3</v>
      </c>
      <c r="D276" t="s">
        <v>232</v>
      </c>
      <c r="E276" t="s">
        <v>233</v>
      </c>
      <c r="F276" t="s">
        <v>234</v>
      </c>
      <c r="G276" t="s">
        <v>235</v>
      </c>
      <c r="H276">
        <v>99999</v>
      </c>
      <c r="I276" t="s">
        <v>188</v>
      </c>
      <c r="J276" t="s">
        <v>189</v>
      </c>
      <c r="K276" t="s">
        <v>190</v>
      </c>
      <c r="L276" s="34">
        <v>41917</v>
      </c>
      <c r="M276" t="s">
        <v>191</v>
      </c>
      <c r="N276" t="s">
        <v>236</v>
      </c>
      <c r="O276" t="s">
        <v>233</v>
      </c>
      <c r="P276" t="s">
        <v>234</v>
      </c>
      <c r="Q276" t="s">
        <v>235</v>
      </c>
      <c r="R276">
        <v>99999</v>
      </c>
      <c r="S276" t="s">
        <v>188</v>
      </c>
      <c r="T276" t="s">
        <v>237</v>
      </c>
      <c r="U276" t="s">
        <v>246</v>
      </c>
      <c r="V276" t="s">
        <v>247</v>
      </c>
      <c r="W276">
        <v>40</v>
      </c>
      <c r="X276">
        <v>91</v>
      </c>
      <c r="Y276" s="36">
        <v>3640</v>
      </c>
      <c r="Z276" s="35">
        <v>364</v>
      </c>
    </row>
    <row r="277" spans="1:26" x14ac:dyDescent="0.25">
      <c r="A277">
        <v>1320</v>
      </c>
      <c r="B277" s="34">
        <v>41922</v>
      </c>
      <c r="C277">
        <v>10</v>
      </c>
      <c r="D277" t="s">
        <v>255</v>
      </c>
      <c r="E277" t="s">
        <v>256</v>
      </c>
      <c r="F277" t="s">
        <v>257</v>
      </c>
      <c r="G277" t="s">
        <v>258</v>
      </c>
      <c r="H277">
        <v>99999</v>
      </c>
      <c r="I277" t="s">
        <v>188</v>
      </c>
      <c r="J277" t="s">
        <v>259</v>
      </c>
      <c r="K277" t="s">
        <v>203</v>
      </c>
      <c r="L277" s="34">
        <v>41924</v>
      </c>
      <c r="M277" t="s">
        <v>191</v>
      </c>
      <c r="N277" t="s">
        <v>260</v>
      </c>
      <c r="O277" t="s">
        <v>256</v>
      </c>
      <c r="P277" t="s">
        <v>257</v>
      </c>
      <c r="Q277" t="s">
        <v>258</v>
      </c>
      <c r="R277">
        <v>99999</v>
      </c>
      <c r="S277" t="s">
        <v>188</v>
      </c>
      <c r="T277" t="s">
        <v>206</v>
      </c>
      <c r="U277" t="s">
        <v>294</v>
      </c>
      <c r="V277" t="s">
        <v>197</v>
      </c>
      <c r="W277">
        <v>10</v>
      </c>
      <c r="X277">
        <v>12</v>
      </c>
      <c r="Y277" s="36">
        <v>120</v>
      </c>
      <c r="Z277" s="35">
        <v>12.36</v>
      </c>
    </row>
    <row r="278" spans="1:26" x14ac:dyDescent="0.25">
      <c r="A278">
        <v>1322</v>
      </c>
      <c r="B278" s="34">
        <v>41922</v>
      </c>
      <c r="C278">
        <v>10</v>
      </c>
      <c r="D278" t="s">
        <v>255</v>
      </c>
      <c r="E278" t="s">
        <v>256</v>
      </c>
      <c r="F278" t="s">
        <v>257</v>
      </c>
      <c r="G278" t="s">
        <v>258</v>
      </c>
      <c r="H278">
        <v>99999</v>
      </c>
      <c r="I278" t="s">
        <v>188</v>
      </c>
      <c r="J278" t="s">
        <v>259</v>
      </c>
      <c r="K278" t="s">
        <v>203</v>
      </c>
      <c r="L278" s="34"/>
      <c r="M278" t="s">
        <v>204</v>
      </c>
      <c r="N278" t="s">
        <v>260</v>
      </c>
      <c r="O278" t="s">
        <v>256</v>
      </c>
      <c r="P278" t="s">
        <v>257</v>
      </c>
      <c r="Q278" t="s">
        <v>258</v>
      </c>
      <c r="R278">
        <v>99999</v>
      </c>
      <c r="S278" t="s">
        <v>188</v>
      </c>
      <c r="U278" t="s">
        <v>196</v>
      </c>
      <c r="V278" t="s">
        <v>197</v>
      </c>
      <c r="W278">
        <v>3.5</v>
      </c>
      <c r="X278">
        <v>78</v>
      </c>
      <c r="Y278" s="36">
        <v>273</v>
      </c>
      <c r="Z278" s="35">
        <v>27.3</v>
      </c>
    </row>
    <row r="279" spans="1:26" x14ac:dyDescent="0.25">
      <c r="A279">
        <v>1323</v>
      </c>
      <c r="B279" s="34">
        <v>41923</v>
      </c>
      <c r="C279">
        <v>11</v>
      </c>
      <c r="D279" t="s">
        <v>271</v>
      </c>
      <c r="E279" t="s">
        <v>272</v>
      </c>
      <c r="F279" t="s">
        <v>273</v>
      </c>
      <c r="G279" t="s">
        <v>274</v>
      </c>
      <c r="H279">
        <v>99999</v>
      </c>
      <c r="I279" t="s">
        <v>188</v>
      </c>
      <c r="J279" t="s">
        <v>252</v>
      </c>
      <c r="K279" t="s">
        <v>253</v>
      </c>
      <c r="L279" s="34"/>
      <c r="M279" t="s">
        <v>220</v>
      </c>
      <c r="N279" t="s">
        <v>275</v>
      </c>
      <c r="O279" t="s">
        <v>272</v>
      </c>
      <c r="P279" t="s">
        <v>273</v>
      </c>
      <c r="Q279" t="s">
        <v>274</v>
      </c>
      <c r="R279">
        <v>99999</v>
      </c>
      <c r="S279" t="s">
        <v>188</v>
      </c>
      <c r="U279" t="s">
        <v>246</v>
      </c>
      <c r="V279" t="s">
        <v>247</v>
      </c>
      <c r="W279">
        <v>40</v>
      </c>
      <c r="X279">
        <v>60</v>
      </c>
      <c r="Y279" s="36">
        <v>2400</v>
      </c>
      <c r="Z279" s="35">
        <v>228</v>
      </c>
    </row>
    <row r="280" spans="1:26" x14ac:dyDescent="0.25">
      <c r="A280">
        <v>1324</v>
      </c>
      <c r="B280" s="34">
        <v>41913</v>
      </c>
      <c r="C280">
        <v>1</v>
      </c>
      <c r="D280" t="s">
        <v>276</v>
      </c>
      <c r="E280" t="s">
        <v>277</v>
      </c>
      <c r="F280" t="s">
        <v>278</v>
      </c>
      <c r="G280" t="s">
        <v>279</v>
      </c>
      <c r="H280">
        <v>99999</v>
      </c>
      <c r="I280" t="s">
        <v>188</v>
      </c>
      <c r="J280" t="s">
        <v>218</v>
      </c>
      <c r="K280" t="s">
        <v>219</v>
      </c>
      <c r="L280" s="34"/>
      <c r="M280" t="s">
        <v>220</v>
      </c>
      <c r="N280" t="s">
        <v>280</v>
      </c>
      <c r="O280" t="s">
        <v>277</v>
      </c>
      <c r="P280" t="s">
        <v>278</v>
      </c>
      <c r="Q280" t="s">
        <v>279</v>
      </c>
      <c r="R280">
        <v>99999</v>
      </c>
      <c r="S280" t="s">
        <v>188</v>
      </c>
      <c r="U280" t="s">
        <v>281</v>
      </c>
      <c r="V280" t="s">
        <v>282</v>
      </c>
      <c r="W280">
        <v>18.399999999999999</v>
      </c>
      <c r="X280">
        <v>23</v>
      </c>
      <c r="Y280" s="36">
        <v>423.2</v>
      </c>
      <c r="Z280" s="35">
        <v>43.589600000000004</v>
      </c>
    </row>
    <row r="281" spans="1:26" x14ac:dyDescent="0.25">
      <c r="A281">
        <v>1325</v>
      </c>
      <c r="B281" s="34">
        <v>41940</v>
      </c>
      <c r="C281">
        <v>28</v>
      </c>
      <c r="D281" t="s">
        <v>248</v>
      </c>
      <c r="E281" t="s">
        <v>249</v>
      </c>
      <c r="F281" t="s">
        <v>250</v>
      </c>
      <c r="G281" t="s">
        <v>251</v>
      </c>
      <c r="H281">
        <v>99999</v>
      </c>
      <c r="I281" t="s">
        <v>188</v>
      </c>
      <c r="J281" t="s">
        <v>252</v>
      </c>
      <c r="K281" t="s">
        <v>253</v>
      </c>
      <c r="L281" s="34">
        <v>41942</v>
      </c>
      <c r="M281" t="s">
        <v>220</v>
      </c>
      <c r="N281" t="s">
        <v>254</v>
      </c>
      <c r="O281" t="s">
        <v>249</v>
      </c>
      <c r="P281" t="s">
        <v>250</v>
      </c>
      <c r="Q281" t="s">
        <v>251</v>
      </c>
      <c r="R281">
        <v>99999</v>
      </c>
      <c r="S281" t="s">
        <v>188</v>
      </c>
      <c r="T281" t="s">
        <v>206</v>
      </c>
      <c r="U281" t="s">
        <v>213</v>
      </c>
      <c r="V281" t="s">
        <v>195</v>
      </c>
      <c r="W281">
        <v>46</v>
      </c>
      <c r="X281">
        <v>34</v>
      </c>
      <c r="Y281" s="36">
        <v>1564</v>
      </c>
      <c r="Z281" s="35">
        <v>157.964</v>
      </c>
    </row>
    <row r="282" spans="1:26" x14ac:dyDescent="0.25">
      <c r="A282">
        <v>1326</v>
      </c>
      <c r="B282" s="34">
        <v>41921</v>
      </c>
      <c r="C282">
        <v>9</v>
      </c>
      <c r="D282" t="s">
        <v>283</v>
      </c>
      <c r="E282" t="s">
        <v>284</v>
      </c>
      <c r="F282" t="s">
        <v>285</v>
      </c>
      <c r="G282" t="s">
        <v>286</v>
      </c>
      <c r="H282">
        <v>99999</v>
      </c>
      <c r="I282" t="s">
        <v>188</v>
      </c>
      <c r="J282" t="s">
        <v>287</v>
      </c>
      <c r="K282" t="s">
        <v>190</v>
      </c>
      <c r="L282" s="34">
        <v>41923</v>
      </c>
      <c r="M282" t="s">
        <v>204</v>
      </c>
      <c r="N282" t="s">
        <v>288</v>
      </c>
      <c r="O282" t="s">
        <v>284</v>
      </c>
      <c r="P282" t="s">
        <v>285</v>
      </c>
      <c r="Q282" t="s">
        <v>286</v>
      </c>
      <c r="R282">
        <v>99999</v>
      </c>
      <c r="S282" t="s">
        <v>188</v>
      </c>
      <c r="T282" t="s">
        <v>193</v>
      </c>
      <c r="U282" t="s">
        <v>238</v>
      </c>
      <c r="V282" t="s">
        <v>239</v>
      </c>
      <c r="W282">
        <v>9.65</v>
      </c>
      <c r="X282">
        <v>89</v>
      </c>
      <c r="Y282" s="36">
        <v>858.85</v>
      </c>
      <c r="Z282" s="35">
        <v>86.743850000000009</v>
      </c>
    </row>
    <row r="283" spans="1:26" x14ac:dyDescent="0.25">
      <c r="A283">
        <v>1327</v>
      </c>
      <c r="B283" s="34">
        <v>41918</v>
      </c>
      <c r="C283">
        <v>6</v>
      </c>
      <c r="D283" t="s">
        <v>240</v>
      </c>
      <c r="E283" t="s">
        <v>241</v>
      </c>
      <c r="F283" t="s">
        <v>242</v>
      </c>
      <c r="G283" t="s">
        <v>243</v>
      </c>
      <c r="H283">
        <v>99999</v>
      </c>
      <c r="I283" t="s">
        <v>188</v>
      </c>
      <c r="J283" t="s">
        <v>244</v>
      </c>
      <c r="K283" t="s">
        <v>219</v>
      </c>
      <c r="L283" s="34">
        <v>41920</v>
      </c>
      <c r="M283" t="s">
        <v>191</v>
      </c>
      <c r="N283" t="s">
        <v>245</v>
      </c>
      <c r="O283" t="s">
        <v>241</v>
      </c>
      <c r="P283" t="s">
        <v>242</v>
      </c>
      <c r="Q283" t="s">
        <v>243</v>
      </c>
      <c r="R283">
        <v>99999</v>
      </c>
      <c r="S283" t="s">
        <v>188</v>
      </c>
      <c r="T283" t="s">
        <v>206</v>
      </c>
      <c r="U283" t="s">
        <v>230</v>
      </c>
      <c r="V283" t="s">
        <v>231</v>
      </c>
      <c r="W283">
        <v>12.75</v>
      </c>
      <c r="X283">
        <v>82</v>
      </c>
      <c r="Y283" s="36">
        <v>1045.5</v>
      </c>
      <c r="Z283" s="35">
        <v>103.50450000000001</v>
      </c>
    </row>
    <row r="284" spans="1:26" x14ac:dyDescent="0.25">
      <c r="A284">
        <v>1328</v>
      </c>
      <c r="B284" s="34">
        <v>41920</v>
      </c>
      <c r="C284">
        <v>8</v>
      </c>
      <c r="D284" t="s">
        <v>214</v>
      </c>
      <c r="E284" t="s">
        <v>215</v>
      </c>
      <c r="F284" t="s">
        <v>216</v>
      </c>
      <c r="G284" t="s">
        <v>217</v>
      </c>
      <c r="H284">
        <v>99999</v>
      </c>
      <c r="I284" t="s">
        <v>188</v>
      </c>
      <c r="J284" t="s">
        <v>218</v>
      </c>
      <c r="K284" t="s">
        <v>219</v>
      </c>
      <c r="L284" s="34">
        <v>41922</v>
      </c>
      <c r="M284" t="s">
        <v>191</v>
      </c>
      <c r="N284" t="s">
        <v>221</v>
      </c>
      <c r="O284" t="s">
        <v>215</v>
      </c>
      <c r="P284" t="s">
        <v>216</v>
      </c>
      <c r="Q284" t="s">
        <v>217</v>
      </c>
      <c r="R284">
        <v>99999</v>
      </c>
      <c r="S284" t="s">
        <v>188</v>
      </c>
      <c r="T284" t="s">
        <v>193</v>
      </c>
      <c r="U284" t="s">
        <v>230</v>
      </c>
      <c r="V284" t="s">
        <v>231</v>
      </c>
      <c r="W284">
        <v>12.75</v>
      </c>
      <c r="X284">
        <v>43</v>
      </c>
      <c r="Y284" s="36">
        <v>548.25</v>
      </c>
      <c r="Z284" s="35">
        <v>52.631999999999998</v>
      </c>
    </row>
    <row r="285" spans="1:26" x14ac:dyDescent="0.25">
      <c r="A285">
        <v>1329</v>
      </c>
      <c r="B285" s="34">
        <v>41953</v>
      </c>
      <c r="C285">
        <v>10</v>
      </c>
      <c r="D285" t="s">
        <v>255</v>
      </c>
      <c r="E285" t="s">
        <v>256</v>
      </c>
      <c r="F285" t="s">
        <v>257</v>
      </c>
      <c r="G285" t="s">
        <v>258</v>
      </c>
      <c r="H285">
        <v>99999</v>
      </c>
      <c r="I285" t="s">
        <v>188</v>
      </c>
      <c r="J285" t="s">
        <v>259</v>
      </c>
      <c r="K285" t="s">
        <v>203</v>
      </c>
      <c r="L285" s="34">
        <v>41955</v>
      </c>
      <c r="M285" t="s">
        <v>204</v>
      </c>
      <c r="N285" t="s">
        <v>260</v>
      </c>
      <c r="O285" t="s">
        <v>256</v>
      </c>
      <c r="P285" t="s">
        <v>257</v>
      </c>
      <c r="Q285" t="s">
        <v>258</v>
      </c>
      <c r="R285">
        <v>99999</v>
      </c>
      <c r="S285" t="s">
        <v>188</v>
      </c>
      <c r="U285" t="s">
        <v>269</v>
      </c>
      <c r="V285" t="s">
        <v>270</v>
      </c>
      <c r="W285" s="35">
        <v>22</v>
      </c>
      <c r="X285">
        <v>96</v>
      </c>
      <c r="Y285" s="36">
        <v>2112</v>
      </c>
      <c r="Z285" s="35">
        <v>221.76000000000002</v>
      </c>
    </row>
    <row r="286" spans="1:26" x14ac:dyDescent="0.25">
      <c r="A286">
        <v>1330</v>
      </c>
      <c r="B286" s="34">
        <v>41953</v>
      </c>
      <c r="C286">
        <v>10</v>
      </c>
      <c r="D286" t="s">
        <v>255</v>
      </c>
      <c r="E286" t="s">
        <v>256</v>
      </c>
      <c r="F286" t="s">
        <v>257</v>
      </c>
      <c r="G286" t="s">
        <v>258</v>
      </c>
      <c r="H286">
        <v>99999</v>
      </c>
      <c r="I286" t="s">
        <v>188</v>
      </c>
      <c r="J286" t="s">
        <v>259</v>
      </c>
      <c r="K286" t="s">
        <v>203</v>
      </c>
      <c r="L286" s="34">
        <v>41955</v>
      </c>
      <c r="M286" t="s">
        <v>204</v>
      </c>
      <c r="N286" t="s">
        <v>260</v>
      </c>
      <c r="O286" t="s">
        <v>256</v>
      </c>
      <c r="P286" t="s">
        <v>257</v>
      </c>
      <c r="Q286" t="s">
        <v>258</v>
      </c>
      <c r="R286">
        <v>99999</v>
      </c>
      <c r="S286" t="s">
        <v>188</v>
      </c>
      <c r="U286" t="s">
        <v>222</v>
      </c>
      <c r="V286" t="s">
        <v>223</v>
      </c>
      <c r="W286" s="35">
        <v>9.1999999999999993</v>
      </c>
      <c r="X286">
        <v>34</v>
      </c>
      <c r="Y286" s="36">
        <v>312.79999999999995</v>
      </c>
      <c r="Z286" s="35">
        <v>31.279999999999998</v>
      </c>
    </row>
    <row r="287" spans="1:26" x14ac:dyDescent="0.25">
      <c r="A287">
        <v>1331</v>
      </c>
      <c r="B287" s="34">
        <v>41954</v>
      </c>
      <c r="C287">
        <v>11</v>
      </c>
      <c r="D287" t="s">
        <v>271</v>
      </c>
      <c r="E287" t="s">
        <v>272</v>
      </c>
      <c r="F287" t="s">
        <v>273</v>
      </c>
      <c r="G287" t="s">
        <v>274</v>
      </c>
      <c r="H287">
        <v>99999</v>
      </c>
      <c r="I287" t="s">
        <v>188</v>
      </c>
      <c r="J287" t="s">
        <v>252</v>
      </c>
      <c r="K287" t="s">
        <v>253</v>
      </c>
      <c r="L287" s="34"/>
      <c r="M287" t="s">
        <v>220</v>
      </c>
      <c r="N287" t="s">
        <v>275</v>
      </c>
      <c r="O287" t="s">
        <v>272</v>
      </c>
      <c r="P287" t="s">
        <v>273</v>
      </c>
      <c r="Q287" t="s">
        <v>274</v>
      </c>
      <c r="R287">
        <v>99999</v>
      </c>
      <c r="S287" t="s">
        <v>188</v>
      </c>
      <c r="U287" t="s">
        <v>196</v>
      </c>
      <c r="V287" t="s">
        <v>197</v>
      </c>
      <c r="W287" s="35">
        <v>3.5</v>
      </c>
      <c r="X287">
        <v>42</v>
      </c>
      <c r="Y287" s="36">
        <v>147</v>
      </c>
      <c r="Z287" s="35">
        <v>15.141000000000002</v>
      </c>
    </row>
    <row r="288" spans="1:26" x14ac:dyDescent="0.25">
      <c r="A288">
        <v>1332</v>
      </c>
      <c r="B288" s="34">
        <v>41954</v>
      </c>
      <c r="C288">
        <v>11</v>
      </c>
      <c r="D288" t="s">
        <v>271</v>
      </c>
      <c r="E288" t="s">
        <v>272</v>
      </c>
      <c r="F288" t="s">
        <v>273</v>
      </c>
      <c r="G288" t="s">
        <v>274</v>
      </c>
      <c r="H288">
        <v>99999</v>
      </c>
      <c r="I288" t="s">
        <v>188</v>
      </c>
      <c r="J288" t="s">
        <v>252</v>
      </c>
      <c r="K288" t="s">
        <v>253</v>
      </c>
      <c r="L288" s="34"/>
      <c r="M288" t="s">
        <v>220</v>
      </c>
      <c r="N288" t="s">
        <v>275</v>
      </c>
      <c r="O288" t="s">
        <v>272</v>
      </c>
      <c r="P288" t="s">
        <v>273</v>
      </c>
      <c r="Q288" t="s">
        <v>274</v>
      </c>
      <c r="R288">
        <v>99999</v>
      </c>
      <c r="S288" t="s">
        <v>188</v>
      </c>
      <c r="U288" t="s">
        <v>261</v>
      </c>
      <c r="V288" t="s">
        <v>195</v>
      </c>
      <c r="W288" s="35">
        <v>2.99</v>
      </c>
      <c r="X288">
        <v>100</v>
      </c>
      <c r="Y288" s="36">
        <v>299</v>
      </c>
      <c r="Z288" s="35">
        <v>30.498000000000001</v>
      </c>
    </row>
    <row r="289" spans="1:26" x14ac:dyDescent="0.25">
      <c r="A289">
        <v>1333</v>
      </c>
      <c r="B289" s="34">
        <v>41944</v>
      </c>
      <c r="C289">
        <v>1</v>
      </c>
      <c r="D289" t="s">
        <v>276</v>
      </c>
      <c r="E289" t="s">
        <v>277</v>
      </c>
      <c r="F289" t="s">
        <v>278</v>
      </c>
      <c r="G289" t="s">
        <v>279</v>
      </c>
      <c r="H289">
        <v>99999</v>
      </c>
      <c r="I289" t="s">
        <v>188</v>
      </c>
      <c r="J289" t="s">
        <v>218</v>
      </c>
      <c r="K289" t="s">
        <v>219</v>
      </c>
      <c r="N289" t="s">
        <v>280</v>
      </c>
      <c r="O289" t="s">
        <v>277</v>
      </c>
      <c r="P289" t="s">
        <v>278</v>
      </c>
      <c r="Q289" t="s">
        <v>279</v>
      </c>
      <c r="R289">
        <v>99999</v>
      </c>
      <c r="S289" t="s">
        <v>188</v>
      </c>
      <c r="U289" t="s">
        <v>212</v>
      </c>
      <c r="V289" t="s">
        <v>195</v>
      </c>
      <c r="W289" s="35">
        <v>18</v>
      </c>
      <c r="X289">
        <v>42</v>
      </c>
      <c r="Y289" s="36">
        <v>756</v>
      </c>
      <c r="Z289" s="35">
        <v>76.356000000000009</v>
      </c>
    </row>
    <row r="290" spans="1:26" x14ac:dyDescent="0.25">
      <c r="A290">
        <v>1334</v>
      </c>
      <c r="B290" s="34">
        <v>41944</v>
      </c>
      <c r="C290">
        <v>1</v>
      </c>
      <c r="D290" t="s">
        <v>276</v>
      </c>
      <c r="E290" t="s">
        <v>277</v>
      </c>
      <c r="F290" t="s">
        <v>278</v>
      </c>
      <c r="G290" t="s">
        <v>279</v>
      </c>
      <c r="H290">
        <v>99999</v>
      </c>
      <c r="I290" t="s">
        <v>188</v>
      </c>
      <c r="J290" t="s">
        <v>218</v>
      </c>
      <c r="K290" t="s">
        <v>219</v>
      </c>
      <c r="L290" s="34"/>
      <c r="N290" t="s">
        <v>280</v>
      </c>
      <c r="O290" t="s">
        <v>277</v>
      </c>
      <c r="P290" t="s">
        <v>278</v>
      </c>
      <c r="Q290" t="s">
        <v>279</v>
      </c>
      <c r="R290">
        <v>99999</v>
      </c>
      <c r="S290" t="s">
        <v>188</v>
      </c>
      <c r="U290" t="s">
        <v>213</v>
      </c>
      <c r="V290" t="s">
        <v>195</v>
      </c>
      <c r="W290" s="35">
        <v>46</v>
      </c>
      <c r="X290">
        <v>16</v>
      </c>
      <c r="Y290" s="36">
        <v>736</v>
      </c>
      <c r="Z290" s="35">
        <v>70.656000000000006</v>
      </c>
    </row>
    <row r="291" spans="1:26" x14ac:dyDescent="0.25">
      <c r="A291">
        <v>1335</v>
      </c>
      <c r="B291" s="34">
        <v>41944</v>
      </c>
      <c r="C291">
        <v>1</v>
      </c>
      <c r="D291" t="s">
        <v>276</v>
      </c>
      <c r="E291" t="s">
        <v>277</v>
      </c>
      <c r="F291" t="s">
        <v>278</v>
      </c>
      <c r="G291" t="s">
        <v>279</v>
      </c>
      <c r="H291">
        <v>99999</v>
      </c>
      <c r="I291" t="s">
        <v>188</v>
      </c>
      <c r="J291" t="s">
        <v>218</v>
      </c>
      <c r="K291" t="s">
        <v>219</v>
      </c>
      <c r="L291" s="34"/>
      <c r="N291" t="s">
        <v>280</v>
      </c>
      <c r="O291" t="s">
        <v>277</v>
      </c>
      <c r="P291" t="s">
        <v>278</v>
      </c>
      <c r="Q291" t="s">
        <v>279</v>
      </c>
      <c r="R291">
        <v>99999</v>
      </c>
      <c r="S291" t="s">
        <v>188</v>
      </c>
      <c r="U291" t="s">
        <v>261</v>
      </c>
      <c r="V291" t="s">
        <v>195</v>
      </c>
      <c r="W291" s="35">
        <v>2.99</v>
      </c>
      <c r="X291">
        <v>22</v>
      </c>
      <c r="Y291" s="36">
        <v>65.78</v>
      </c>
      <c r="Z291" s="35">
        <v>6.3806599999999998</v>
      </c>
    </row>
    <row r="292" spans="1:26" x14ac:dyDescent="0.25">
      <c r="A292">
        <v>1336</v>
      </c>
      <c r="B292" s="34">
        <v>41971</v>
      </c>
      <c r="C292">
        <v>28</v>
      </c>
      <c r="D292" t="s">
        <v>248</v>
      </c>
      <c r="E292" t="s">
        <v>249</v>
      </c>
      <c r="F292" t="s">
        <v>250</v>
      </c>
      <c r="G292" t="s">
        <v>251</v>
      </c>
      <c r="H292">
        <v>99999</v>
      </c>
      <c r="I292" t="s">
        <v>188</v>
      </c>
      <c r="J292" t="s">
        <v>252</v>
      </c>
      <c r="K292" t="s">
        <v>253</v>
      </c>
      <c r="L292" s="34">
        <v>41973</v>
      </c>
      <c r="M292" t="s">
        <v>220</v>
      </c>
      <c r="N292" t="s">
        <v>254</v>
      </c>
      <c r="O292" t="s">
        <v>249</v>
      </c>
      <c r="P292" t="s">
        <v>250</v>
      </c>
      <c r="Q292" t="s">
        <v>251</v>
      </c>
      <c r="R292">
        <v>99999</v>
      </c>
      <c r="S292" t="s">
        <v>188</v>
      </c>
      <c r="T292" t="s">
        <v>206</v>
      </c>
      <c r="U292" t="s">
        <v>238</v>
      </c>
      <c r="V292" t="s">
        <v>239</v>
      </c>
      <c r="W292" s="35">
        <v>9.65</v>
      </c>
      <c r="X292">
        <v>46</v>
      </c>
      <c r="Y292" s="36">
        <v>443.90000000000003</v>
      </c>
      <c r="Z292" s="35">
        <v>45.721700000000006</v>
      </c>
    </row>
    <row r="293" spans="1:26" x14ac:dyDescent="0.25">
      <c r="A293">
        <v>1337</v>
      </c>
      <c r="B293" s="34">
        <v>41971</v>
      </c>
      <c r="C293">
        <v>28</v>
      </c>
      <c r="D293" t="s">
        <v>248</v>
      </c>
      <c r="E293" t="s">
        <v>249</v>
      </c>
      <c r="F293" t="s">
        <v>250</v>
      </c>
      <c r="G293" t="s">
        <v>251</v>
      </c>
      <c r="H293">
        <v>99999</v>
      </c>
      <c r="I293" t="s">
        <v>188</v>
      </c>
      <c r="J293" t="s">
        <v>252</v>
      </c>
      <c r="K293" t="s">
        <v>253</v>
      </c>
      <c r="L293">
        <v>41973</v>
      </c>
      <c r="M293" t="s">
        <v>220</v>
      </c>
      <c r="N293" t="s">
        <v>254</v>
      </c>
      <c r="O293" t="s">
        <v>249</v>
      </c>
      <c r="P293" t="s">
        <v>250</v>
      </c>
      <c r="Q293" t="s">
        <v>251</v>
      </c>
      <c r="R293">
        <v>99999</v>
      </c>
      <c r="S293" t="s">
        <v>188</v>
      </c>
      <c r="T293" t="s">
        <v>206</v>
      </c>
      <c r="U293" t="s">
        <v>281</v>
      </c>
      <c r="V293" t="s">
        <v>282</v>
      </c>
      <c r="W293" s="35">
        <v>18.399999999999999</v>
      </c>
      <c r="X293">
        <v>100</v>
      </c>
      <c r="Y293" s="36">
        <v>1839.9999999999998</v>
      </c>
      <c r="Z293" s="35">
        <v>184</v>
      </c>
    </row>
    <row r="294" spans="1:26" x14ac:dyDescent="0.25">
      <c r="A294">
        <v>1338</v>
      </c>
      <c r="B294" s="34">
        <v>41952</v>
      </c>
      <c r="C294">
        <v>9</v>
      </c>
      <c r="D294" t="s">
        <v>283</v>
      </c>
      <c r="E294" t="s">
        <v>284</v>
      </c>
      <c r="F294" t="s">
        <v>285</v>
      </c>
      <c r="G294" t="s">
        <v>286</v>
      </c>
      <c r="H294">
        <v>99999</v>
      </c>
      <c r="I294" t="s">
        <v>188</v>
      </c>
      <c r="J294" t="s">
        <v>287</v>
      </c>
      <c r="K294" t="s">
        <v>190</v>
      </c>
      <c r="L294">
        <v>41954</v>
      </c>
      <c r="M294" t="s">
        <v>204</v>
      </c>
      <c r="N294" t="s">
        <v>288</v>
      </c>
      <c r="O294" t="s">
        <v>284</v>
      </c>
      <c r="P294" t="s">
        <v>285</v>
      </c>
      <c r="Q294" t="s">
        <v>286</v>
      </c>
      <c r="R294">
        <v>99999</v>
      </c>
      <c r="S294" t="s">
        <v>188</v>
      </c>
      <c r="T294" t="s">
        <v>193</v>
      </c>
      <c r="U294" t="s">
        <v>289</v>
      </c>
      <c r="V294" t="s">
        <v>290</v>
      </c>
      <c r="W294" s="35">
        <v>19.5</v>
      </c>
      <c r="X294">
        <v>87</v>
      </c>
      <c r="Y294" s="36">
        <v>1696.5</v>
      </c>
      <c r="Z294" s="35">
        <v>174.73950000000002</v>
      </c>
    </row>
    <row r="295" spans="1:26" x14ac:dyDescent="0.25">
      <c r="A295">
        <v>1339</v>
      </c>
      <c r="B295" s="34">
        <v>41952</v>
      </c>
      <c r="C295">
        <v>9</v>
      </c>
      <c r="D295" t="s">
        <v>283</v>
      </c>
      <c r="E295" t="s">
        <v>284</v>
      </c>
      <c r="F295" t="s">
        <v>285</v>
      </c>
      <c r="G295" t="s">
        <v>286</v>
      </c>
      <c r="H295">
        <v>99999</v>
      </c>
      <c r="I295" t="s">
        <v>188</v>
      </c>
      <c r="J295" t="s">
        <v>287</v>
      </c>
      <c r="K295" t="s">
        <v>190</v>
      </c>
      <c r="L295">
        <v>41954</v>
      </c>
      <c r="M295" t="s">
        <v>204</v>
      </c>
      <c r="N295" t="s">
        <v>288</v>
      </c>
      <c r="O295" t="s">
        <v>284</v>
      </c>
      <c r="P295" t="s">
        <v>285</v>
      </c>
      <c r="Q295" t="s">
        <v>286</v>
      </c>
      <c r="R295">
        <v>99999</v>
      </c>
      <c r="S295" t="s">
        <v>188</v>
      </c>
      <c r="T295" t="s">
        <v>193</v>
      </c>
      <c r="U295" t="s">
        <v>291</v>
      </c>
      <c r="V295" t="s">
        <v>292</v>
      </c>
      <c r="W295" s="35">
        <v>34.799999999999997</v>
      </c>
      <c r="X295">
        <v>58</v>
      </c>
      <c r="Y295" s="36">
        <v>2018.3999999999999</v>
      </c>
      <c r="Z295" s="35">
        <v>205.8768</v>
      </c>
    </row>
    <row r="296" spans="1:26" x14ac:dyDescent="0.25">
      <c r="A296">
        <v>1340</v>
      </c>
      <c r="B296" s="34">
        <v>41949</v>
      </c>
      <c r="C296">
        <v>6</v>
      </c>
      <c r="D296" t="s">
        <v>240</v>
      </c>
      <c r="E296" t="s">
        <v>241</v>
      </c>
      <c r="F296" t="s">
        <v>242</v>
      </c>
      <c r="G296" t="s">
        <v>243</v>
      </c>
      <c r="H296">
        <v>99999</v>
      </c>
      <c r="I296" t="s">
        <v>188</v>
      </c>
      <c r="J296" t="s">
        <v>244</v>
      </c>
      <c r="K296" t="s">
        <v>219</v>
      </c>
      <c r="L296">
        <v>41951</v>
      </c>
      <c r="M296" t="s">
        <v>191</v>
      </c>
      <c r="N296" t="s">
        <v>245</v>
      </c>
      <c r="O296" t="s">
        <v>241</v>
      </c>
      <c r="P296" t="s">
        <v>242</v>
      </c>
      <c r="Q296" t="s">
        <v>243</v>
      </c>
      <c r="R296">
        <v>99999</v>
      </c>
      <c r="S296" t="s">
        <v>188</v>
      </c>
      <c r="T296" t="s">
        <v>206</v>
      </c>
      <c r="U296" t="s">
        <v>194</v>
      </c>
      <c r="V296" t="s">
        <v>195</v>
      </c>
      <c r="W296" s="35">
        <v>14</v>
      </c>
      <c r="X296">
        <v>85</v>
      </c>
      <c r="Y296" s="36">
        <v>1190</v>
      </c>
      <c r="Z296" s="35">
        <v>120.19</v>
      </c>
    </row>
    <row r="297" spans="1:26" x14ac:dyDescent="0.25">
      <c r="A297">
        <v>1341</v>
      </c>
      <c r="B297" s="34">
        <v>41951</v>
      </c>
      <c r="C297">
        <v>8</v>
      </c>
      <c r="D297" t="s">
        <v>214</v>
      </c>
      <c r="E297" t="s">
        <v>215</v>
      </c>
      <c r="F297" t="s">
        <v>216</v>
      </c>
      <c r="G297" t="s">
        <v>217</v>
      </c>
      <c r="H297">
        <v>99999</v>
      </c>
      <c r="I297" t="s">
        <v>188</v>
      </c>
      <c r="J297" t="s">
        <v>218</v>
      </c>
      <c r="K297" t="s">
        <v>219</v>
      </c>
      <c r="L297">
        <v>41953</v>
      </c>
      <c r="M297" t="s">
        <v>191</v>
      </c>
      <c r="N297" t="s">
        <v>221</v>
      </c>
      <c r="O297" t="s">
        <v>215</v>
      </c>
      <c r="P297" t="s">
        <v>216</v>
      </c>
      <c r="Q297" t="s">
        <v>217</v>
      </c>
      <c r="R297">
        <v>99999</v>
      </c>
      <c r="S297" t="s">
        <v>188</v>
      </c>
      <c r="T297" t="s">
        <v>193</v>
      </c>
      <c r="U297" t="s">
        <v>246</v>
      </c>
      <c r="V297" t="s">
        <v>247</v>
      </c>
      <c r="W297" s="35">
        <v>40</v>
      </c>
      <c r="X297">
        <v>28</v>
      </c>
      <c r="Y297" s="36">
        <v>1120</v>
      </c>
      <c r="Z297" s="35">
        <v>110.88</v>
      </c>
    </row>
    <row r="298" spans="1:26" x14ac:dyDescent="0.25">
      <c r="A298">
        <v>1342</v>
      </c>
      <c r="B298" s="34">
        <v>41951</v>
      </c>
      <c r="C298">
        <v>8</v>
      </c>
      <c r="D298" t="s">
        <v>214</v>
      </c>
      <c r="E298" t="s">
        <v>215</v>
      </c>
      <c r="F298" t="s">
        <v>216</v>
      </c>
      <c r="G298" t="s">
        <v>217</v>
      </c>
      <c r="H298">
        <v>99999</v>
      </c>
      <c r="I298" t="s">
        <v>188</v>
      </c>
      <c r="J298" t="s">
        <v>218</v>
      </c>
      <c r="K298" t="s">
        <v>219</v>
      </c>
      <c r="L298" s="34">
        <v>41953</v>
      </c>
      <c r="M298" t="s">
        <v>191</v>
      </c>
      <c r="N298" t="s">
        <v>221</v>
      </c>
      <c r="O298" t="s">
        <v>215</v>
      </c>
      <c r="P298" t="s">
        <v>216</v>
      </c>
      <c r="Q298" t="s">
        <v>217</v>
      </c>
      <c r="R298">
        <v>99999</v>
      </c>
      <c r="S298" t="s">
        <v>188</v>
      </c>
      <c r="T298" t="s">
        <v>193</v>
      </c>
      <c r="U298" t="s">
        <v>222</v>
      </c>
      <c r="V298" t="s">
        <v>223</v>
      </c>
      <c r="W298" s="35">
        <v>9.1999999999999993</v>
      </c>
      <c r="X298">
        <v>19</v>
      </c>
      <c r="Y298" s="36">
        <v>174.79999999999998</v>
      </c>
      <c r="Z298" s="35">
        <v>17.130400000000002</v>
      </c>
    </row>
    <row r="299" spans="1:26" x14ac:dyDescent="0.25">
      <c r="A299">
        <v>1343</v>
      </c>
      <c r="B299" s="34">
        <v>41968</v>
      </c>
      <c r="C299">
        <v>25</v>
      </c>
      <c r="D299" t="s">
        <v>295</v>
      </c>
      <c r="E299" t="s">
        <v>296</v>
      </c>
      <c r="F299" t="s">
        <v>257</v>
      </c>
      <c r="G299" t="s">
        <v>258</v>
      </c>
      <c r="H299">
        <v>99999</v>
      </c>
      <c r="I299" t="s">
        <v>188</v>
      </c>
      <c r="J299" t="s">
        <v>259</v>
      </c>
      <c r="K299" t="s">
        <v>203</v>
      </c>
      <c r="L299" s="34">
        <v>41970</v>
      </c>
      <c r="M299" t="s">
        <v>204</v>
      </c>
      <c r="N299" t="s">
        <v>297</v>
      </c>
      <c r="O299" t="s">
        <v>296</v>
      </c>
      <c r="P299" t="s">
        <v>257</v>
      </c>
      <c r="Q299" t="s">
        <v>258</v>
      </c>
      <c r="R299">
        <v>99999</v>
      </c>
      <c r="S299" t="s">
        <v>188</v>
      </c>
      <c r="T299" t="s">
        <v>237</v>
      </c>
      <c r="U299" t="s">
        <v>304</v>
      </c>
      <c r="V299" t="s">
        <v>223</v>
      </c>
      <c r="W299" s="35">
        <v>10</v>
      </c>
      <c r="X299">
        <v>99</v>
      </c>
      <c r="Y299" s="36">
        <v>990</v>
      </c>
      <c r="Z299" s="35">
        <v>102.96000000000001</v>
      </c>
    </row>
    <row r="300" spans="1:26" x14ac:dyDescent="0.25">
      <c r="A300">
        <v>1344</v>
      </c>
      <c r="B300" s="34">
        <v>41969</v>
      </c>
      <c r="C300">
        <v>26</v>
      </c>
      <c r="D300" t="s">
        <v>298</v>
      </c>
      <c r="E300" t="s">
        <v>299</v>
      </c>
      <c r="F300" t="s">
        <v>273</v>
      </c>
      <c r="G300" t="s">
        <v>274</v>
      </c>
      <c r="H300">
        <v>99999</v>
      </c>
      <c r="I300" t="s">
        <v>188</v>
      </c>
      <c r="J300" t="s">
        <v>252</v>
      </c>
      <c r="K300" t="s">
        <v>253</v>
      </c>
      <c r="L300" s="34">
        <v>41971</v>
      </c>
      <c r="M300" t="s">
        <v>220</v>
      </c>
      <c r="N300" t="s">
        <v>300</v>
      </c>
      <c r="O300" t="s">
        <v>299</v>
      </c>
      <c r="P300" t="s">
        <v>273</v>
      </c>
      <c r="Q300" t="s">
        <v>274</v>
      </c>
      <c r="R300">
        <v>99999</v>
      </c>
      <c r="S300" t="s">
        <v>188</v>
      </c>
      <c r="T300" t="s">
        <v>206</v>
      </c>
      <c r="U300" t="s">
        <v>305</v>
      </c>
      <c r="V300" t="s">
        <v>306</v>
      </c>
      <c r="W300" s="35">
        <v>21.35</v>
      </c>
      <c r="X300">
        <v>69</v>
      </c>
      <c r="Y300" s="36">
        <v>1473.15</v>
      </c>
      <c r="Z300" s="35">
        <v>153.20760000000004</v>
      </c>
    </row>
    <row r="301" spans="1:26" x14ac:dyDescent="0.25">
      <c r="A301">
        <v>1345</v>
      </c>
      <c r="B301" s="34">
        <v>41969</v>
      </c>
      <c r="C301">
        <v>26</v>
      </c>
      <c r="D301" t="s">
        <v>298</v>
      </c>
      <c r="E301" t="s">
        <v>299</v>
      </c>
      <c r="F301" t="s">
        <v>273</v>
      </c>
      <c r="G301" t="s">
        <v>274</v>
      </c>
      <c r="H301">
        <v>99999</v>
      </c>
      <c r="I301" t="s">
        <v>188</v>
      </c>
      <c r="J301" t="s">
        <v>252</v>
      </c>
      <c r="K301" t="s">
        <v>253</v>
      </c>
      <c r="L301" s="34">
        <v>41971</v>
      </c>
      <c r="M301" t="s">
        <v>220</v>
      </c>
      <c r="N301" t="s">
        <v>300</v>
      </c>
      <c r="O301" t="s">
        <v>299</v>
      </c>
      <c r="P301" t="s">
        <v>273</v>
      </c>
      <c r="Q301" t="s">
        <v>274</v>
      </c>
      <c r="R301">
        <v>99999</v>
      </c>
      <c r="S301" t="s">
        <v>188</v>
      </c>
      <c r="T301" t="s">
        <v>206</v>
      </c>
      <c r="U301" t="s">
        <v>238</v>
      </c>
      <c r="V301" t="s">
        <v>239</v>
      </c>
      <c r="W301" s="35">
        <v>9.65</v>
      </c>
      <c r="X301">
        <v>37</v>
      </c>
      <c r="Y301" s="36">
        <v>357.05</v>
      </c>
      <c r="Z301" s="35">
        <v>33.919750000000001</v>
      </c>
    </row>
    <row r="302" spans="1:26" x14ac:dyDescent="0.25">
      <c r="A302">
        <v>1346</v>
      </c>
      <c r="B302" s="34">
        <v>41969</v>
      </c>
      <c r="C302">
        <v>26</v>
      </c>
      <c r="D302" t="s">
        <v>298</v>
      </c>
      <c r="E302" t="s">
        <v>299</v>
      </c>
      <c r="F302" t="s">
        <v>273</v>
      </c>
      <c r="G302" t="s">
        <v>274</v>
      </c>
      <c r="H302">
        <v>99999</v>
      </c>
      <c r="I302" t="s">
        <v>188</v>
      </c>
      <c r="J302" t="s">
        <v>252</v>
      </c>
      <c r="K302" t="s">
        <v>253</v>
      </c>
      <c r="L302" s="34">
        <v>41971</v>
      </c>
      <c r="M302" t="s">
        <v>220</v>
      </c>
      <c r="N302" t="s">
        <v>300</v>
      </c>
      <c r="O302" t="s">
        <v>299</v>
      </c>
      <c r="P302" t="s">
        <v>273</v>
      </c>
      <c r="Q302" t="s">
        <v>274</v>
      </c>
      <c r="R302">
        <v>99999</v>
      </c>
      <c r="S302" t="s">
        <v>188</v>
      </c>
      <c r="T302" t="s">
        <v>206</v>
      </c>
      <c r="U302" t="s">
        <v>281</v>
      </c>
      <c r="V302" t="s">
        <v>282</v>
      </c>
      <c r="W302" s="35">
        <v>18.399999999999999</v>
      </c>
      <c r="X302">
        <v>64</v>
      </c>
      <c r="Y302" s="36">
        <v>1177.5999999999999</v>
      </c>
      <c r="Z302" s="35">
        <v>118.93759999999999</v>
      </c>
    </row>
    <row r="303" spans="1:26" x14ac:dyDescent="0.25">
      <c r="A303">
        <v>1347</v>
      </c>
      <c r="B303" s="34">
        <v>41972</v>
      </c>
      <c r="C303">
        <v>29</v>
      </c>
      <c r="D303" t="s">
        <v>224</v>
      </c>
      <c r="E303" t="s">
        <v>225</v>
      </c>
      <c r="F303" t="s">
        <v>226</v>
      </c>
      <c r="G303" t="s">
        <v>227</v>
      </c>
      <c r="H303">
        <v>99999</v>
      </c>
      <c r="I303" t="s">
        <v>188</v>
      </c>
      <c r="J303" t="s">
        <v>228</v>
      </c>
      <c r="K303" t="s">
        <v>190</v>
      </c>
      <c r="L303" s="34">
        <v>41974</v>
      </c>
      <c r="M303" t="s">
        <v>191</v>
      </c>
      <c r="N303" t="s">
        <v>229</v>
      </c>
      <c r="O303" t="s">
        <v>225</v>
      </c>
      <c r="P303" t="s">
        <v>226</v>
      </c>
      <c r="Q303" t="s">
        <v>227</v>
      </c>
      <c r="R303">
        <v>99999</v>
      </c>
      <c r="S303" t="s">
        <v>188</v>
      </c>
      <c r="T303" t="s">
        <v>193</v>
      </c>
      <c r="U303" t="s">
        <v>194</v>
      </c>
      <c r="V303" t="s">
        <v>195</v>
      </c>
      <c r="W303" s="35">
        <v>14</v>
      </c>
      <c r="X303">
        <v>38</v>
      </c>
      <c r="Y303" s="36">
        <v>532</v>
      </c>
      <c r="Z303" s="35">
        <v>55.328000000000003</v>
      </c>
    </row>
    <row r="304" spans="1:26" x14ac:dyDescent="0.25">
      <c r="A304">
        <v>1348</v>
      </c>
      <c r="B304" s="34">
        <v>41949</v>
      </c>
      <c r="C304">
        <v>6</v>
      </c>
      <c r="D304" t="s">
        <v>240</v>
      </c>
      <c r="E304" t="s">
        <v>241</v>
      </c>
      <c r="F304" t="s">
        <v>242</v>
      </c>
      <c r="G304" t="s">
        <v>243</v>
      </c>
      <c r="H304">
        <v>99999</v>
      </c>
      <c r="I304" t="s">
        <v>188</v>
      </c>
      <c r="J304" t="s">
        <v>244</v>
      </c>
      <c r="K304" t="s">
        <v>219</v>
      </c>
      <c r="L304" s="34">
        <v>41951</v>
      </c>
      <c r="M304" t="s">
        <v>220</v>
      </c>
      <c r="N304" t="s">
        <v>245</v>
      </c>
      <c r="O304" t="s">
        <v>241</v>
      </c>
      <c r="P304" t="s">
        <v>242</v>
      </c>
      <c r="Q304" t="s">
        <v>243</v>
      </c>
      <c r="R304">
        <v>99999</v>
      </c>
      <c r="S304" t="s">
        <v>188</v>
      </c>
      <c r="T304" t="s">
        <v>193</v>
      </c>
      <c r="U304" t="s">
        <v>230</v>
      </c>
      <c r="V304" t="s">
        <v>231</v>
      </c>
      <c r="W304" s="35">
        <v>12.75</v>
      </c>
      <c r="X304">
        <v>15</v>
      </c>
      <c r="Y304" s="36">
        <v>191.25</v>
      </c>
      <c r="Z304" s="35">
        <v>18.55125</v>
      </c>
    </row>
    <row r="305" spans="1:26" x14ac:dyDescent="0.25">
      <c r="A305">
        <v>1350</v>
      </c>
      <c r="B305" s="34">
        <v>41947</v>
      </c>
      <c r="C305">
        <v>4</v>
      </c>
      <c r="D305" t="s">
        <v>198</v>
      </c>
      <c r="E305" t="s">
        <v>199</v>
      </c>
      <c r="F305" t="s">
        <v>200</v>
      </c>
      <c r="G305" t="s">
        <v>201</v>
      </c>
      <c r="H305">
        <v>99999</v>
      </c>
      <c r="I305" t="s">
        <v>188</v>
      </c>
      <c r="J305" t="s">
        <v>202</v>
      </c>
      <c r="K305" t="s">
        <v>203</v>
      </c>
      <c r="L305" s="34">
        <v>41949</v>
      </c>
      <c r="M305" t="s">
        <v>204</v>
      </c>
      <c r="N305" t="s">
        <v>205</v>
      </c>
      <c r="O305" t="s">
        <v>199</v>
      </c>
      <c r="P305" t="s">
        <v>200</v>
      </c>
      <c r="Q305" t="s">
        <v>201</v>
      </c>
      <c r="R305">
        <v>99999</v>
      </c>
      <c r="S305" t="s">
        <v>188</v>
      </c>
      <c r="T305" t="s">
        <v>206</v>
      </c>
      <c r="U305" t="s">
        <v>307</v>
      </c>
      <c r="V305" t="s">
        <v>268</v>
      </c>
      <c r="W305" s="35">
        <v>81</v>
      </c>
      <c r="X305">
        <v>52</v>
      </c>
      <c r="Y305" s="36">
        <v>4212</v>
      </c>
      <c r="Z305" s="35">
        <v>412.77600000000001</v>
      </c>
    </row>
    <row r="306" spans="1:26" x14ac:dyDescent="0.25">
      <c r="A306">
        <v>1351</v>
      </c>
      <c r="B306" s="34">
        <v>41947</v>
      </c>
      <c r="C306">
        <v>4</v>
      </c>
      <c r="D306" t="s">
        <v>198</v>
      </c>
      <c r="E306" t="s">
        <v>199</v>
      </c>
      <c r="F306" t="s">
        <v>200</v>
      </c>
      <c r="G306" t="s">
        <v>201</v>
      </c>
      <c r="H306">
        <v>99999</v>
      </c>
      <c r="I306" t="s">
        <v>188</v>
      </c>
      <c r="J306" t="s">
        <v>202</v>
      </c>
      <c r="K306" t="s">
        <v>203</v>
      </c>
      <c r="L306" s="34">
        <v>41949</v>
      </c>
      <c r="M306" t="s">
        <v>204</v>
      </c>
      <c r="N306" t="s">
        <v>205</v>
      </c>
      <c r="O306" t="s">
        <v>199</v>
      </c>
      <c r="P306" t="s">
        <v>200</v>
      </c>
      <c r="Q306" t="s">
        <v>201</v>
      </c>
      <c r="R306">
        <v>99999</v>
      </c>
      <c r="S306" t="s">
        <v>188</v>
      </c>
      <c r="T306" t="s">
        <v>206</v>
      </c>
      <c r="U306" t="s">
        <v>308</v>
      </c>
      <c r="V306" t="s">
        <v>309</v>
      </c>
      <c r="W306" s="35">
        <v>7</v>
      </c>
      <c r="X306">
        <v>37</v>
      </c>
      <c r="Y306" s="36">
        <v>259</v>
      </c>
      <c r="Z306" s="35">
        <v>25.382000000000001</v>
      </c>
    </row>
    <row r="307" spans="1:26" x14ac:dyDescent="0.25">
      <c r="A307">
        <v>1353</v>
      </c>
      <c r="B307" s="34">
        <v>41951</v>
      </c>
      <c r="C307">
        <v>8</v>
      </c>
      <c r="D307" t="s">
        <v>214</v>
      </c>
      <c r="E307" t="s">
        <v>215</v>
      </c>
      <c r="F307" t="s">
        <v>216</v>
      </c>
      <c r="G307" t="s">
        <v>217</v>
      </c>
      <c r="H307">
        <v>99999</v>
      </c>
      <c r="I307" t="s">
        <v>188</v>
      </c>
      <c r="J307" t="s">
        <v>218</v>
      </c>
      <c r="K307" t="s">
        <v>219</v>
      </c>
      <c r="L307" s="34">
        <v>41953</v>
      </c>
      <c r="M307" t="s">
        <v>220</v>
      </c>
      <c r="N307" t="s">
        <v>221</v>
      </c>
      <c r="O307" t="s">
        <v>215</v>
      </c>
      <c r="P307" t="s">
        <v>216</v>
      </c>
      <c r="Q307" t="s">
        <v>217</v>
      </c>
      <c r="R307">
        <v>99999</v>
      </c>
      <c r="S307" t="s">
        <v>188</v>
      </c>
      <c r="T307" t="s">
        <v>206</v>
      </c>
      <c r="U307" t="s">
        <v>291</v>
      </c>
      <c r="V307" t="s">
        <v>292</v>
      </c>
      <c r="W307" s="35">
        <v>34.799999999999997</v>
      </c>
      <c r="X307">
        <v>24</v>
      </c>
      <c r="Y307" s="36">
        <v>835.19999999999993</v>
      </c>
      <c r="Z307" s="35">
        <v>80.179199999999994</v>
      </c>
    </row>
    <row r="308" spans="1:26" x14ac:dyDescent="0.25">
      <c r="A308">
        <v>1356</v>
      </c>
      <c r="B308" s="34">
        <v>41946</v>
      </c>
      <c r="C308">
        <v>3</v>
      </c>
      <c r="D308" t="s">
        <v>232</v>
      </c>
      <c r="E308" t="s">
        <v>233</v>
      </c>
      <c r="F308" t="s">
        <v>234</v>
      </c>
      <c r="G308" t="s">
        <v>235</v>
      </c>
      <c r="H308">
        <v>99999</v>
      </c>
      <c r="I308" t="s">
        <v>188</v>
      </c>
      <c r="J308" t="s">
        <v>189</v>
      </c>
      <c r="K308" t="s">
        <v>190</v>
      </c>
      <c r="L308" s="34">
        <v>41948</v>
      </c>
      <c r="M308" t="s">
        <v>191</v>
      </c>
      <c r="N308" t="s">
        <v>236</v>
      </c>
      <c r="O308" t="s">
        <v>233</v>
      </c>
      <c r="P308" t="s">
        <v>234</v>
      </c>
      <c r="Q308" t="s">
        <v>235</v>
      </c>
      <c r="R308">
        <v>99999</v>
      </c>
      <c r="S308" t="s">
        <v>188</v>
      </c>
      <c r="T308" t="s">
        <v>237</v>
      </c>
      <c r="U308" t="s">
        <v>293</v>
      </c>
      <c r="V308" t="s">
        <v>270</v>
      </c>
      <c r="W308" s="35">
        <v>10</v>
      </c>
      <c r="X308">
        <v>36</v>
      </c>
      <c r="Y308" s="36">
        <v>360</v>
      </c>
      <c r="Z308" s="35">
        <v>37.08</v>
      </c>
    </row>
    <row r="309" spans="1:26" x14ac:dyDescent="0.25">
      <c r="A309">
        <v>1357</v>
      </c>
      <c r="B309" s="34">
        <v>41946</v>
      </c>
      <c r="C309">
        <v>3</v>
      </c>
      <c r="D309" t="s">
        <v>232</v>
      </c>
      <c r="E309" t="s">
        <v>233</v>
      </c>
      <c r="F309" t="s">
        <v>234</v>
      </c>
      <c r="G309" t="s">
        <v>235</v>
      </c>
      <c r="H309">
        <v>99999</v>
      </c>
      <c r="I309" t="s">
        <v>188</v>
      </c>
      <c r="J309" t="s">
        <v>189</v>
      </c>
      <c r="K309" t="s">
        <v>190</v>
      </c>
      <c r="L309" s="34">
        <v>41948</v>
      </c>
      <c r="M309" t="s">
        <v>191</v>
      </c>
      <c r="N309" t="s">
        <v>236</v>
      </c>
      <c r="O309" t="s">
        <v>233</v>
      </c>
      <c r="P309" t="s">
        <v>234</v>
      </c>
      <c r="Q309" t="s">
        <v>235</v>
      </c>
      <c r="R309">
        <v>99999</v>
      </c>
      <c r="S309" t="s">
        <v>188</v>
      </c>
      <c r="T309" t="s">
        <v>237</v>
      </c>
      <c r="U309" t="s">
        <v>246</v>
      </c>
      <c r="V309" t="s">
        <v>247</v>
      </c>
      <c r="W309" s="35">
        <v>40</v>
      </c>
      <c r="X309">
        <v>24</v>
      </c>
      <c r="Y309" s="36">
        <v>960</v>
      </c>
      <c r="Z309" s="35">
        <v>96</v>
      </c>
    </row>
    <row r="310" spans="1:26" x14ac:dyDescent="0.25">
      <c r="A310">
        <v>1361</v>
      </c>
      <c r="B310" s="34">
        <v>41953</v>
      </c>
      <c r="C310">
        <v>10</v>
      </c>
      <c r="D310" t="s">
        <v>255</v>
      </c>
      <c r="E310" t="s">
        <v>256</v>
      </c>
      <c r="F310" t="s">
        <v>257</v>
      </c>
      <c r="G310" t="s">
        <v>258</v>
      </c>
      <c r="H310">
        <v>99999</v>
      </c>
      <c r="I310" t="s">
        <v>188</v>
      </c>
      <c r="J310" t="s">
        <v>259</v>
      </c>
      <c r="K310" t="s">
        <v>203</v>
      </c>
      <c r="L310" s="34">
        <v>41955</v>
      </c>
      <c r="M310" t="s">
        <v>191</v>
      </c>
      <c r="N310" t="s">
        <v>260</v>
      </c>
      <c r="O310" t="s">
        <v>256</v>
      </c>
      <c r="P310" t="s">
        <v>257</v>
      </c>
      <c r="Q310" t="s">
        <v>258</v>
      </c>
      <c r="R310">
        <v>99999</v>
      </c>
      <c r="S310" t="s">
        <v>188</v>
      </c>
      <c r="T310" t="s">
        <v>206</v>
      </c>
      <c r="U310" t="s">
        <v>294</v>
      </c>
      <c r="V310" t="s">
        <v>197</v>
      </c>
      <c r="W310" s="35">
        <v>10</v>
      </c>
      <c r="X310">
        <v>20</v>
      </c>
      <c r="Y310" s="36">
        <v>200</v>
      </c>
      <c r="Z310" s="35">
        <v>20</v>
      </c>
    </row>
    <row r="311" spans="1:26" x14ac:dyDescent="0.25">
      <c r="A311">
        <v>1363</v>
      </c>
      <c r="B311" s="34">
        <v>41953</v>
      </c>
      <c r="C311">
        <v>10</v>
      </c>
      <c r="D311" t="s">
        <v>255</v>
      </c>
      <c r="E311" t="s">
        <v>256</v>
      </c>
      <c r="F311" t="s">
        <v>257</v>
      </c>
      <c r="G311" t="s">
        <v>258</v>
      </c>
      <c r="H311">
        <v>99999</v>
      </c>
      <c r="I311" t="s">
        <v>188</v>
      </c>
      <c r="J311" t="s">
        <v>259</v>
      </c>
      <c r="K311" t="s">
        <v>203</v>
      </c>
      <c r="L311" s="34"/>
      <c r="M311" t="s">
        <v>204</v>
      </c>
      <c r="N311" t="s">
        <v>260</v>
      </c>
      <c r="O311" t="s">
        <v>256</v>
      </c>
      <c r="P311" t="s">
        <v>257</v>
      </c>
      <c r="Q311" t="s">
        <v>258</v>
      </c>
      <c r="R311">
        <v>99999</v>
      </c>
      <c r="S311" t="s">
        <v>188</v>
      </c>
      <c r="U311" t="s">
        <v>196</v>
      </c>
      <c r="V311" t="s">
        <v>197</v>
      </c>
      <c r="W311">
        <v>3.5</v>
      </c>
      <c r="X311">
        <v>11</v>
      </c>
      <c r="Y311" s="36">
        <v>38.5</v>
      </c>
      <c r="Z311" s="35">
        <v>3.7345000000000002</v>
      </c>
    </row>
    <row r="312" spans="1:26" x14ac:dyDescent="0.25">
      <c r="A312">
        <v>1364</v>
      </c>
      <c r="B312" s="34">
        <v>41954</v>
      </c>
      <c r="C312">
        <v>11</v>
      </c>
      <c r="D312" t="s">
        <v>271</v>
      </c>
      <c r="E312" t="s">
        <v>272</v>
      </c>
      <c r="F312" t="s">
        <v>273</v>
      </c>
      <c r="G312" t="s">
        <v>274</v>
      </c>
      <c r="H312">
        <v>99999</v>
      </c>
      <c r="I312" t="s">
        <v>188</v>
      </c>
      <c r="J312" t="s">
        <v>252</v>
      </c>
      <c r="K312" t="s">
        <v>253</v>
      </c>
      <c r="L312" s="34"/>
      <c r="M312" t="s">
        <v>220</v>
      </c>
      <c r="N312" t="s">
        <v>275</v>
      </c>
      <c r="O312" t="s">
        <v>272</v>
      </c>
      <c r="P312" t="s">
        <v>273</v>
      </c>
      <c r="Q312" t="s">
        <v>274</v>
      </c>
      <c r="R312">
        <v>99999</v>
      </c>
      <c r="S312" t="s">
        <v>188</v>
      </c>
      <c r="U312" t="s">
        <v>246</v>
      </c>
      <c r="V312" t="s">
        <v>247</v>
      </c>
      <c r="W312">
        <v>40</v>
      </c>
      <c r="X312">
        <v>78</v>
      </c>
      <c r="Y312" s="36">
        <v>3120</v>
      </c>
      <c r="Z312" s="35">
        <v>299.52</v>
      </c>
    </row>
    <row r="313" spans="1:26" x14ac:dyDescent="0.25">
      <c r="A313">
        <v>1365</v>
      </c>
      <c r="B313" s="34">
        <v>41944</v>
      </c>
      <c r="C313">
        <v>1</v>
      </c>
      <c r="D313" t="s">
        <v>276</v>
      </c>
      <c r="E313" t="s">
        <v>277</v>
      </c>
      <c r="F313" t="s">
        <v>278</v>
      </c>
      <c r="G313" t="s">
        <v>279</v>
      </c>
      <c r="H313">
        <v>99999</v>
      </c>
      <c r="I313" t="s">
        <v>188</v>
      </c>
      <c r="J313" t="s">
        <v>218</v>
      </c>
      <c r="K313" t="s">
        <v>219</v>
      </c>
      <c r="L313" s="34"/>
      <c r="M313" t="s">
        <v>220</v>
      </c>
      <c r="N313" t="s">
        <v>280</v>
      </c>
      <c r="O313" t="s">
        <v>277</v>
      </c>
      <c r="P313" t="s">
        <v>278</v>
      </c>
      <c r="Q313" t="s">
        <v>279</v>
      </c>
      <c r="R313">
        <v>99999</v>
      </c>
      <c r="S313" t="s">
        <v>188</v>
      </c>
      <c r="U313" t="s">
        <v>281</v>
      </c>
      <c r="V313" t="s">
        <v>282</v>
      </c>
      <c r="W313">
        <v>18.399999999999999</v>
      </c>
      <c r="X313">
        <v>76</v>
      </c>
      <c r="Y313" s="36">
        <v>1398.3999999999999</v>
      </c>
      <c r="Z313" s="35">
        <v>144.0352</v>
      </c>
    </row>
    <row r="314" spans="1:26" x14ac:dyDescent="0.25">
      <c r="A314">
        <v>1366</v>
      </c>
      <c r="B314" s="34">
        <v>41971</v>
      </c>
      <c r="C314">
        <v>28</v>
      </c>
      <c r="D314" t="s">
        <v>248</v>
      </c>
      <c r="E314" t="s">
        <v>249</v>
      </c>
      <c r="F314" t="s">
        <v>250</v>
      </c>
      <c r="G314" t="s">
        <v>251</v>
      </c>
      <c r="H314">
        <v>99999</v>
      </c>
      <c r="I314" t="s">
        <v>188</v>
      </c>
      <c r="J314" t="s">
        <v>252</v>
      </c>
      <c r="K314" t="s">
        <v>253</v>
      </c>
      <c r="L314" s="34">
        <v>41973</v>
      </c>
      <c r="M314" t="s">
        <v>220</v>
      </c>
      <c r="N314" t="s">
        <v>254</v>
      </c>
      <c r="O314" t="s">
        <v>249</v>
      </c>
      <c r="P314" t="s">
        <v>250</v>
      </c>
      <c r="Q314" t="s">
        <v>251</v>
      </c>
      <c r="R314">
        <v>99999</v>
      </c>
      <c r="S314" t="s">
        <v>188</v>
      </c>
      <c r="T314" t="s">
        <v>206</v>
      </c>
      <c r="U314" t="s">
        <v>213</v>
      </c>
      <c r="V314" t="s">
        <v>195</v>
      </c>
      <c r="W314">
        <v>46</v>
      </c>
      <c r="X314">
        <v>57</v>
      </c>
      <c r="Y314" s="36">
        <v>2622</v>
      </c>
      <c r="Z314" s="35">
        <v>272.68799999999999</v>
      </c>
    </row>
    <row r="315" spans="1:26" x14ac:dyDescent="0.25">
      <c r="A315">
        <v>1367</v>
      </c>
      <c r="B315" s="34">
        <v>41952</v>
      </c>
      <c r="C315">
        <v>9</v>
      </c>
      <c r="D315" t="s">
        <v>283</v>
      </c>
      <c r="E315" t="s">
        <v>284</v>
      </c>
      <c r="F315" t="s">
        <v>285</v>
      </c>
      <c r="G315" t="s">
        <v>286</v>
      </c>
      <c r="H315">
        <v>99999</v>
      </c>
      <c r="I315" t="s">
        <v>188</v>
      </c>
      <c r="J315" t="s">
        <v>287</v>
      </c>
      <c r="K315" t="s">
        <v>190</v>
      </c>
      <c r="L315" s="34">
        <v>41954</v>
      </c>
      <c r="M315" t="s">
        <v>204</v>
      </c>
      <c r="N315" t="s">
        <v>288</v>
      </c>
      <c r="O315" t="s">
        <v>284</v>
      </c>
      <c r="P315" t="s">
        <v>285</v>
      </c>
      <c r="Q315" t="s">
        <v>286</v>
      </c>
      <c r="R315">
        <v>99999</v>
      </c>
      <c r="S315" t="s">
        <v>188</v>
      </c>
      <c r="T315" t="s">
        <v>193</v>
      </c>
      <c r="U315" t="s">
        <v>238</v>
      </c>
      <c r="V315" t="s">
        <v>239</v>
      </c>
      <c r="W315">
        <v>9.65</v>
      </c>
      <c r="X315">
        <v>14</v>
      </c>
      <c r="Y315" s="36">
        <v>135.1</v>
      </c>
      <c r="Z315" s="35">
        <v>12.9696</v>
      </c>
    </row>
    <row r="316" spans="1:26" x14ac:dyDescent="0.25">
      <c r="A316">
        <v>1368</v>
      </c>
      <c r="B316" s="34">
        <v>42000</v>
      </c>
      <c r="C316">
        <v>27</v>
      </c>
      <c r="D316" t="s">
        <v>184</v>
      </c>
      <c r="E316" t="s">
        <v>185</v>
      </c>
      <c r="F316" t="s">
        <v>186</v>
      </c>
      <c r="G316" t="s">
        <v>187</v>
      </c>
      <c r="H316">
        <v>99999</v>
      </c>
      <c r="I316" t="s">
        <v>188</v>
      </c>
      <c r="J316" t="s">
        <v>189</v>
      </c>
      <c r="K316" t="s">
        <v>190</v>
      </c>
      <c r="L316" s="34">
        <v>42002</v>
      </c>
      <c r="M316" t="s">
        <v>191</v>
      </c>
      <c r="N316" t="s">
        <v>192</v>
      </c>
      <c r="O316" t="s">
        <v>185</v>
      </c>
      <c r="P316" t="s">
        <v>186</v>
      </c>
      <c r="Q316" t="s">
        <v>187</v>
      </c>
      <c r="R316">
        <v>99999</v>
      </c>
      <c r="S316" t="s">
        <v>188</v>
      </c>
      <c r="T316" t="s">
        <v>193</v>
      </c>
      <c r="U316" t="s">
        <v>194</v>
      </c>
      <c r="V316" t="s">
        <v>195</v>
      </c>
      <c r="W316">
        <v>14</v>
      </c>
      <c r="X316">
        <v>14</v>
      </c>
      <c r="Y316" s="36">
        <v>196</v>
      </c>
      <c r="Z316" s="35">
        <v>19.796000000000003</v>
      </c>
    </row>
    <row r="317" spans="1:26" x14ac:dyDescent="0.25">
      <c r="A317">
        <v>1369</v>
      </c>
      <c r="B317" s="34">
        <v>42000</v>
      </c>
      <c r="C317">
        <v>27</v>
      </c>
      <c r="D317" t="s">
        <v>184</v>
      </c>
      <c r="E317" t="s">
        <v>185</v>
      </c>
      <c r="F317" t="s">
        <v>186</v>
      </c>
      <c r="G317" t="s">
        <v>187</v>
      </c>
      <c r="H317">
        <v>99999</v>
      </c>
      <c r="I317" t="s">
        <v>188</v>
      </c>
      <c r="J317" t="s">
        <v>189</v>
      </c>
      <c r="K317" t="s">
        <v>190</v>
      </c>
      <c r="L317" s="34">
        <v>42002</v>
      </c>
      <c r="M317" t="s">
        <v>191</v>
      </c>
      <c r="N317" t="s">
        <v>192</v>
      </c>
      <c r="O317" t="s">
        <v>185</v>
      </c>
      <c r="P317" t="s">
        <v>186</v>
      </c>
      <c r="Q317" t="s">
        <v>187</v>
      </c>
      <c r="R317">
        <v>99999</v>
      </c>
      <c r="S317" t="s">
        <v>188</v>
      </c>
      <c r="T317" t="s">
        <v>193</v>
      </c>
      <c r="U317" t="s">
        <v>196</v>
      </c>
      <c r="V317" t="s">
        <v>197</v>
      </c>
      <c r="W317">
        <v>3.5</v>
      </c>
      <c r="X317">
        <v>70</v>
      </c>
      <c r="Y317" s="36">
        <v>245</v>
      </c>
      <c r="Z317" s="35">
        <v>25.234999999999999</v>
      </c>
    </row>
    <row r="318" spans="1:26" x14ac:dyDescent="0.25">
      <c r="A318">
        <v>1370</v>
      </c>
      <c r="B318" s="34">
        <v>41977</v>
      </c>
      <c r="C318">
        <v>4</v>
      </c>
      <c r="D318" t="s">
        <v>198</v>
      </c>
      <c r="E318" t="s">
        <v>199</v>
      </c>
      <c r="F318" t="s">
        <v>200</v>
      </c>
      <c r="G318" t="s">
        <v>201</v>
      </c>
      <c r="H318">
        <v>99999</v>
      </c>
      <c r="I318" t="s">
        <v>188</v>
      </c>
      <c r="J318" t="s">
        <v>202</v>
      </c>
      <c r="K318" t="s">
        <v>203</v>
      </c>
      <c r="L318" s="34">
        <v>41979</v>
      </c>
      <c r="M318" t="s">
        <v>204</v>
      </c>
      <c r="N318" t="s">
        <v>205</v>
      </c>
      <c r="O318" t="s">
        <v>199</v>
      </c>
      <c r="P318" t="s">
        <v>200</v>
      </c>
      <c r="Q318" t="s">
        <v>201</v>
      </c>
      <c r="R318">
        <v>99999</v>
      </c>
      <c r="S318" t="s">
        <v>188</v>
      </c>
      <c r="T318" t="s">
        <v>206</v>
      </c>
      <c r="U318" t="s">
        <v>207</v>
      </c>
      <c r="V318" t="s">
        <v>197</v>
      </c>
      <c r="W318">
        <v>30</v>
      </c>
      <c r="X318">
        <v>100</v>
      </c>
      <c r="Y318" s="36">
        <v>3000</v>
      </c>
      <c r="Z318" s="35">
        <v>291</v>
      </c>
    </row>
    <row r="319" spans="1:26" x14ac:dyDescent="0.25">
      <c r="A319">
        <v>1371</v>
      </c>
      <c r="B319" s="34">
        <v>41977</v>
      </c>
      <c r="C319">
        <v>4</v>
      </c>
      <c r="D319" t="s">
        <v>198</v>
      </c>
      <c r="E319" t="s">
        <v>199</v>
      </c>
      <c r="F319" t="s">
        <v>200</v>
      </c>
      <c r="G319" t="s">
        <v>201</v>
      </c>
      <c r="H319">
        <v>99999</v>
      </c>
      <c r="I319" t="s">
        <v>188</v>
      </c>
      <c r="J319" t="s">
        <v>202</v>
      </c>
      <c r="K319" t="s">
        <v>203</v>
      </c>
      <c r="L319" s="34">
        <v>41979</v>
      </c>
      <c r="M319" t="s">
        <v>204</v>
      </c>
      <c r="N319" t="s">
        <v>205</v>
      </c>
      <c r="O319" t="s">
        <v>199</v>
      </c>
      <c r="P319" t="s">
        <v>200</v>
      </c>
      <c r="Q319" t="s">
        <v>201</v>
      </c>
      <c r="R319">
        <v>99999</v>
      </c>
      <c r="S319" t="s">
        <v>188</v>
      </c>
      <c r="T319" t="s">
        <v>206</v>
      </c>
      <c r="U319" t="s">
        <v>208</v>
      </c>
      <c r="V319" t="s">
        <v>197</v>
      </c>
      <c r="W319">
        <v>53</v>
      </c>
      <c r="X319">
        <v>27</v>
      </c>
      <c r="Y319" s="36">
        <v>1431</v>
      </c>
      <c r="Z319" s="35">
        <v>143.1</v>
      </c>
    </row>
    <row r="320" spans="1:26" x14ac:dyDescent="0.25">
      <c r="A320">
        <v>1372</v>
      </c>
      <c r="B320" s="34">
        <v>41977</v>
      </c>
      <c r="C320">
        <v>4</v>
      </c>
      <c r="D320" t="s">
        <v>198</v>
      </c>
      <c r="E320" t="s">
        <v>199</v>
      </c>
      <c r="F320" t="s">
        <v>200</v>
      </c>
      <c r="G320" t="s">
        <v>201</v>
      </c>
      <c r="H320">
        <v>99999</v>
      </c>
      <c r="I320" t="s">
        <v>188</v>
      </c>
      <c r="J320" t="s">
        <v>202</v>
      </c>
      <c r="K320" t="s">
        <v>203</v>
      </c>
      <c r="L320" s="34">
        <v>41979</v>
      </c>
      <c r="M320" t="s">
        <v>204</v>
      </c>
      <c r="N320" t="s">
        <v>205</v>
      </c>
      <c r="O320" t="s">
        <v>199</v>
      </c>
      <c r="P320" t="s">
        <v>200</v>
      </c>
      <c r="Q320" t="s">
        <v>201</v>
      </c>
      <c r="R320">
        <v>99999</v>
      </c>
      <c r="S320" t="s">
        <v>188</v>
      </c>
      <c r="T320" t="s">
        <v>206</v>
      </c>
      <c r="U320" t="s">
        <v>196</v>
      </c>
      <c r="V320" t="s">
        <v>197</v>
      </c>
      <c r="W320">
        <v>3.5</v>
      </c>
      <c r="X320">
        <v>70</v>
      </c>
      <c r="Y320" s="36">
        <v>245</v>
      </c>
      <c r="Z320" s="35">
        <v>24.009999999999998</v>
      </c>
    </row>
    <row r="321" spans="1:26" x14ac:dyDescent="0.25">
      <c r="A321">
        <v>1373</v>
      </c>
      <c r="B321" s="34">
        <v>41985</v>
      </c>
      <c r="C321">
        <v>12</v>
      </c>
      <c r="D321" t="s">
        <v>209</v>
      </c>
      <c r="E321" t="s">
        <v>210</v>
      </c>
      <c r="F321" t="s">
        <v>186</v>
      </c>
      <c r="G321" t="s">
        <v>187</v>
      </c>
      <c r="H321">
        <v>99999</v>
      </c>
      <c r="I321" t="s">
        <v>188</v>
      </c>
      <c r="J321" t="s">
        <v>189</v>
      </c>
      <c r="K321" t="s">
        <v>190</v>
      </c>
      <c r="L321" s="34">
        <v>41987</v>
      </c>
      <c r="M321" t="s">
        <v>191</v>
      </c>
      <c r="N321" t="s">
        <v>211</v>
      </c>
      <c r="O321" t="s">
        <v>210</v>
      </c>
      <c r="P321" t="s">
        <v>186</v>
      </c>
      <c r="Q321" t="s">
        <v>187</v>
      </c>
      <c r="R321">
        <v>99999</v>
      </c>
      <c r="S321" t="s">
        <v>188</v>
      </c>
      <c r="T321" t="s">
        <v>206</v>
      </c>
      <c r="U321" t="s">
        <v>212</v>
      </c>
      <c r="V321" t="s">
        <v>195</v>
      </c>
      <c r="W321">
        <v>18</v>
      </c>
      <c r="X321">
        <v>57</v>
      </c>
      <c r="Y321" s="36">
        <v>1026</v>
      </c>
      <c r="Z321" s="35">
        <v>102.60000000000001</v>
      </c>
    </row>
    <row r="322" spans="1:26" x14ac:dyDescent="0.25">
      <c r="A322">
        <v>1374</v>
      </c>
      <c r="B322" s="34">
        <v>41985</v>
      </c>
      <c r="C322">
        <v>12</v>
      </c>
      <c r="D322" t="s">
        <v>209</v>
      </c>
      <c r="E322" t="s">
        <v>210</v>
      </c>
      <c r="F322" t="s">
        <v>186</v>
      </c>
      <c r="G322" t="s">
        <v>187</v>
      </c>
      <c r="H322">
        <v>99999</v>
      </c>
      <c r="I322" t="s">
        <v>188</v>
      </c>
      <c r="J322" t="s">
        <v>189</v>
      </c>
      <c r="K322" t="s">
        <v>190</v>
      </c>
      <c r="L322" s="34">
        <v>41987</v>
      </c>
      <c r="M322" t="s">
        <v>191</v>
      </c>
      <c r="N322" t="s">
        <v>211</v>
      </c>
      <c r="O322" t="s">
        <v>210</v>
      </c>
      <c r="P322" t="s">
        <v>186</v>
      </c>
      <c r="Q322" t="s">
        <v>187</v>
      </c>
      <c r="R322">
        <v>99999</v>
      </c>
      <c r="S322" t="s">
        <v>188</v>
      </c>
      <c r="T322" t="s">
        <v>206</v>
      </c>
      <c r="U322" t="s">
        <v>213</v>
      </c>
      <c r="V322" t="s">
        <v>195</v>
      </c>
      <c r="W322">
        <v>46</v>
      </c>
      <c r="X322">
        <v>83</v>
      </c>
      <c r="Y322" s="36">
        <v>3818</v>
      </c>
      <c r="Z322" s="35">
        <v>374.16399999999999</v>
      </c>
    </row>
    <row r="323" spans="1:26" x14ac:dyDescent="0.25">
      <c r="A323">
        <v>1375</v>
      </c>
      <c r="B323" s="34">
        <v>41981</v>
      </c>
      <c r="C323">
        <v>8</v>
      </c>
      <c r="D323" t="s">
        <v>214</v>
      </c>
      <c r="E323" t="s">
        <v>215</v>
      </c>
      <c r="F323" t="s">
        <v>216</v>
      </c>
      <c r="G323" t="s">
        <v>217</v>
      </c>
      <c r="H323">
        <v>99999</v>
      </c>
      <c r="I323" t="s">
        <v>188</v>
      </c>
      <c r="J323" t="s">
        <v>218</v>
      </c>
      <c r="K323" t="s">
        <v>219</v>
      </c>
      <c r="L323" s="34">
        <v>41983</v>
      </c>
      <c r="M323" t="s">
        <v>220</v>
      </c>
      <c r="N323" t="s">
        <v>221</v>
      </c>
      <c r="O323" t="s">
        <v>215</v>
      </c>
      <c r="P323" t="s">
        <v>216</v>
      </c>
      <c r="Q323" t="s">
        <v>217</v>
      </c>
      <c r="R323">
        <v>99999</v>
      </c>
      <c r="S323" t="s">
        <v>188</v>
      </c>
      <c r="T323" t="s">
        <v>206</v>
      </c>
      <c r="U323" t="s">
        <v>222</v>
      </c>
      <c r="V323" t="s">
        <v>223</v>
      </c>
      <c r="W323">
        <v>9.1999999999999993</v>
      </c>
      <c r="X323">
        <v>76</v>
      </c>
      <c r="Y323" s="36">
        <v>699.19999999999993</v>
      </c>
      <c r="Z323" s="35">
        <v>67.123199999999997</v>
      </c>
    </row>
    <row r="324" spans="1:26" x14ac:dyDescent="0.25">
      <c r="A324">
        <v>1376</v>
      </c>
      <c r="B324" s="34">
        <v>41977</v>
      </c>
      <c r="C324">
        <v>4</v>
      </c>
      <c r="D324" t="s">
        <v>198</v>
      </c>
      <c r="E324" t="s">
        <v>199</v>
      </c>
      <c r="F324" t="s">
        <v>200</v>
      </c>
      <c r="G324" t="s">
        <v>201</v>
      </c>
      <c r="H324">
        <v>99999</v>
      </c>
      <c r="I324" t="s">
        <v>188</v>
      </c>
      <c r="J324" t="s">
        <v>202</v>
      </c>
      <c r="K324" t="s">
        <v>203</v>
      </c>
      <c r="L324">
        <v>41979</v>
      </c>
      <c r="M324" t="s">
        <v>220</v>
      </c>
      <c r="N324" t="s">
        <v>205</v>
      </c>
      <c r="O324" t="s">
        <v>199</v>
      </c>
      <c r="P324" t="s">
        <v>200</v>
      </c>
      <c r="Q324" t="s">
        <v>201</v>
      </c>
      <c r="R324">
        <v>99999</v>
      </c>
      <c r="S324" t="s">
        <v>188</v>
      </c>
      <c r="T324" t="s">
        <v>193</v>
      </c>
      <c r="U324" t="s">
        <v>222</v>
      </c>
      <c r="V324" t="s">
        <v>223</v>
      </c>
      <c r="W324">
        <v>9.1999999999999993</v>
      </c>
      <c r="X324">
        <v>80</v>
      </c>
      <c r="Y324" s="36">
        <v>736</v>
      </c>
      <c r="Z324" s="35">
        <v>72.864000000000004</v>
      </c>
    </row>
    <row r="325" spans="1:26" x14ac:dyDescent="0.25">
      <c r="A325">
        <v>1377</v>
      </c>
      <c r="B325" s="34">
        <v>42002</v>
      </c>
      <c r="C325">
        <v>29</v>
      </c>
      <c r="D325" t="s">
        <v>224</v>
      </c>
      <c r="E325" t="s">
        <v>225</v>
      </c>
      <c r="F325" t="s">
        <v>226</v>
      </c>
      <c r="G325" t="s">
        <v>227</v>
      </c>
      <c r="H325">
        <v>99999</v>
      </c>
      <c r="I325" t="s">
        <v>188</v>
      </c>
      <c r="J325" t="s">
        <v>228</v>
      </c>
      <c r="K325" t="s">
        <v>190</v>
      </c>
      <c r="L325">
        <v>42004</v>
      </c>
      <c r="M325" t="s">
        <v>191</v>
      </c>
      <c r="N325" t="s">
        <v>229</v>
      </c>
      <c r="O325" t="s">
        <v>225</v>
      </c>
      <c r="P325" t="s">
        <v>226</v>
      </c>
      <c r="Q325" t="s">
        <v>227</v>
      </c>
      <c r="R325">
        <v>99999</v>
      </c>
      <c r="S325" t="s">
        <v>188</v>
      </c>
      <c r="T325" t="s">
        <v>193</v>
      </c>
      <c r="U325" t="s">
        <v>230</v>
      </c>
      <c r="V325" t="s">
        <v>231</v>
      </c>
      <c r="W325">
        <v>12.75</v>
      </c>
      <c r="X325">
        <v>47</v>
      </c>
      <c r="Y325" s="36">
        <v>599.25</v>
      </c>
      <c r="Z325" s="35">
        <v>59.325750000000006</v>
      </c>
    </row>
    <row r="326" spans="1:26" x14ac:dyDescent="0.25">
      <c r="A326">
        <v>1378</v>
      </c>
      <c r="B326" s="34">
        <v>41976</v>
      </c>
      <c r="C326">
        <v>3</v>
      </c>
      <c r="D326" t="s">
        <v>232</v>
      </c>
      <c r="E326" t="s">
        <v>233</v>
      </c>
      <c r="F326" t="s">
        <v>234</v>
      </c>
      <c r="G326" t="s">
        <v>235</v>
      </c>
      <c r="H326">
        <v>99999</v>
      </c>
      <c r="I326" t="s">
        <v>188</v>
      </c>
      <c r="J326" t="s">
        <v>189</v>
      </c>
      <c r="K326" t="s">
        <v>190</v>
      </c>
      <c r="L326">
        <v>41978</v>
      </c>
      <c r="M326" t="s">
        <v>191</v>
      </c>
      <c r="N326" t="s">
        <v>236</v>
      </c>
      <c r="O326" t="s">
        <v>233</v>
      </c>
      <c r="P326" t="s">
        <v>234</v>
      </c>
      <c r="Q326" t="s">
        <v>235</v>
      </c>
      <c r="R326">
        <v>99999</v>
      </c>
      <c r="S326" t="s">
        <v>188</v>
      </c>
      <c r="T326" t="s">
        <v>237</v>
      </c>
      <c r="U326" t="s">
        <v>238</v>
      </c>
      <c r="V326" t="s">
        <v>239</v>
      </c>
      <c r="W326">
        <v>9.65</v>
      </c>
      <c r="X326">
        <v>96</v>
      </c>
      <c r="Y326" s="36">
        <v>926.40000000000009</v>
      </c>
      <c r="Z326" s="35">
        <v>94.492800000000017</v>
      </c>
    </row>
    <row r="327" spans="1:26" x14ac:dyDescent="0.25">
      <c r="A327">
        <v>1379</v>
      </c>
      <c r="B327" s="34">
        <v>41979</v>
      </c>
      <c r="C327">
        <v>6</v>
      </c>
      <c r="D327" t="s">
        <v>240</v>
      </c>
      <c r="E327" t="s">
        <v>241</v>
      </c>
      <c r="F327" t="s">
        <v>242</v>
      </c>
      <c r="G327" t="s">
        <v>243</v>
      </c>
      <c r="H327">
        <v>99999</v>
      </c>
      <c r="I327" t="s">
        <v>188</v>
      </c>
      <c r="J327" t="s">
        <v>244</v>
      </c>
      <c r="K327" t="s">
        <v>219</v>
      </c>
      <c r="L327">
        <v>41981</v>
      </c>
      <c r="M327" t="s">
        <v>191</v>
      </c>
      <c r="N327" t="s">
        <v>245</v>
      </c>
      <c r="O327" t="s">
        <v>241</v>
      </c>
      <c r="P327" t="s">
        <v>242</v>
      </c>
      <c r="Q327" t="s">
        <v>243</v>
      </c>
      <c r="R327">
        <v>99999</v>
      </c>
      <c r="S327" t="s">
        <v>188</v>
      </c>
      <c r="T327" t="s">
        <v>206</v>
      </c>
      <c r="U327" t="s">
        <v>246</v>
      </c>
      <c r="V327" t="s">
        <v>247</v>
      </c>
      <c r="W327">
        <v>40</v>
      </c>
      <c r="X327">
        <v>32</v>
      </c>
      <c r="Y327" s="36">
        <v>1280</v>
      </c>
      <c r="Z327" s="35">
        <v>134.4</v>
      </c>
    </row>
    <row r="328" spans="1:26" x14ac:dyDescent="0.25">
      <c r="A328">
        <v>1380</v>
      </c>
      <c r="B328" s="34">
        <v>42001</v>
      </c>
      <c r="C328">
        <v>28</v>
      </c>
      <c r="D328" t="s">
        <v>248</v>
      </c>
      <c r="E328" t="s">
        <v>249</v>
      </c>
      <c r="F328" t="s">
        <v>250</v>
      </c>
      <c r="G328" t="s">
        <v>251</v>
      </c>
      <c r="H328">
        <v>99999</v>
      </c>
      <c r="I328" t="s">
        <v>188</v>
      </c>
      <c r="J328" t="s">
        <v>252</v>
      </c>
      <c r="K328" t="s">
        <v>253</v>
      </c>
      <c r="L328" s="34">
        <v>42003</v>
      </c>
      <c r="M328" t="s">
        <v>220</v>
      </c>
      <c r="N328" t="s">
        <v>254</v>
      </c>
      <c r="O328" t="s">
        <v>249</v>
      </c>
      <c r="P328" t="s">
        <v>250</v>
      </c>
      <c r="Q328" t="s">
        <v>251</v>
      </c>
      <c r="R328">
        <v>99999</v>
      </c>
      <c r="S328" t="s">
        <v>188</v>
      </c>
      <c r="T328" t="s">
        <v>193</v>
      </c>
      <c r="U328" t="s">
        <v>213</v>
      </c>
      <c r="V328" t="s">
        <v>195</v>
      </c>
      <c r="W328">
        <v>46</v>
      </c>
      <c r="X328">
        <v>16</v>
      </c>
      <c r="Y328" s="36">
        <v>736</v>
      </c>
      <c r="Z328" s="35">
        <v>73.600000000000009</v>
      </c>
    </row>
    <row r="329" spans="1:26" x14ac:dyDescent="0.25">
      <c r="A329">
        <v>1381</v>
      </c>
      <c r="B329" s="34">
        <v>41981</v>
      </c>
      <c r="C329">
        <v>8</v>
      </c>
      <c r="D329" t="s">
        <v>214</v>
      </c>
      <c r="E329" t="s">
        <v>215</v>
      </c>
      <c r="F329" t="s">
        <v>216</v>
      </c>
      <c r="G329" t="s">
        <v>217</v>
      </c>
      <c r="H329">
        <v>99999</v>
      </c>
      <c r="I329" t="s">
        <v>188</v>
      </c>
      <c r="J329" t="s">
        <v>218</v>
      </c>
      <c r="K329" t="s">
        <v>219</v>
      </c>
      <c r="L329" s="34">
        <v>41983</v>
      </c>
      <c r="M329" t="s">
        <v>220</v>
      </c>
      <c r="N329" t="s">
        <v>221</v>
      </c>
      <c r="O329" t="s">
        <v>215</v>
      </c>
      <c r="P329" t="s">
        <v>216</v>
      </c>
      <c r="Q329" t="s">
        <v>217</v>
      </c>
      <c r="R329">
        <v>99999</v>
      </c>
      <c r="S329" t="s">
        <v>188</v>
      </c>
      <c r="T329" t="s">
        <v>193</v>
      </c>
      <c r="U329" t="s">
        <v>230</v>
      </c>
      <c r="V329" t="s">
        <v>231</v>
      </c>
      <c r="W329">
        <v>12.75</v>
      </c>
      <c r="X329">
        <v>41</v>
      </c>
      <c r="Y329" s="36">
        <v>522.75</v>
      </c>
      <c r="Z329" s="35">
        <v>51.229500000000002</v>
      </c>
    </row>
    <row r="330" spans="1:26" x14ac:dyDescent="0.25">
      <c r="A330">
        <v>1382</v>
      </c>
      <c r="B330" s="34">
        <v>41983</v>
      </c>
      <c r="C330">
        <v>10</v>
      </c>
      <c r="D330" t="s">
        <v>255</v>
      </c>
      <c r="E330" t="s">
        <v>256</v>
      </c>
      <c r="F330" t="s">
        <v>257</v>
      </c>
      <c r="G330" t="s">
        <v>258</v>
      </c>
      <c r="H330">
        <v>99999</v>
      </c>
      <c r="I330" t="s">
        <v>188</v>
      </c>
      <c r="J330" t="s">
        <v>259</v>
      </c>
      <c r="K330" t="s">
        <v>203</v>
      </c>
      <c r="L330" s="34">
        <v>41985</v>
      </c>
      <c r="M330" t="s">
        <v>191</v>
      </c>
      <c r="N330" t="s">
        <v>260</v>
      </c>
      <c r="O330" t="s">
        <v>256</v>
      </c>
      <c r="P330" t="s">
        <v>257</v>
      </c>
      <c r="Q330" t="s">
        <v>258</v>
      </c>
      <c r="R330">
        <v>99999</v>
      </c>
      <c r="S330" t="s">
        <v>188</v>
      </c>
      <c r="T330" t="s">
        <v>206</v>
      </c>
      <c r="U330" t="s">
        <v>261</v>
      </c>
      <c r="V330" t="s">
        <v>195</v>
      </c>
      <c r="W330">
        <v>2.99</v>
      </c>
      <c r="X330">
        <v>41</v>
      </c>
      <c r="Y330" s="36">
        <v>122.59</v>
      </c>
      <c r="Z330" s="35">
        <v>12.871950000000002</v>
      </c>
    </row>
    <row r="331" spans="1:26" x14ac:dyDescent="0.25">
      <c r="A331">
        <v>1383</v>
      </c>
      <c r="B331" s="34">
        <v>41980</v>
      </c>
      <c r="C331">
        <v>7</v>
      </c>
      <c r="D331" t="s">
        <v>262</v>
      </c>
      <c r="E331" t="s">
        <v>263</v>
      </c>
      <c r="F331" t="s">
        <v>264</v>
      </c>
      <c r="G331" t="s">
        <v>265</v>
      </c>
      <c r="H331">
        <v>99999</v>
      </c>
      <c r="I331" t="s">
        <v>188</v>
      </c>
      <c r="J331" t="s">
        <v>218</v>
      </c>
      <c r="K331" t="s">
        <v>219</v>
      </c>
      <c r="L331" s="34"/>
      <c r="N331" t="s">
        <v>266</v>
      </c>
      <c r="O331" t="s">
        <v>263</v>
      </c>
      <c r="P331" t="s">
        <v>264</v>
      </c>
      <c r="Q331" t="s">
        <v>265</v>
      </c>
      <c r="R331">
        <v>99999</v>
      </c>
      <c r="S331" t="s">
        <v>188</v>
      </c>
      <c r="U331" t="s">
        <v>213</v>
      </c>
      <c r="V331" t="s">
        <v>195</v>
      </c>
      <c r="W331">
        <v>46</v>
      </c>
      <c r="X331">
        <v>41</v>
      </c>
      <c r="Y331" s="36">
        <v>1886</v>
      </c>
      <c r="Z331" s="35">
        <v>194.25800000000004</v>
      </c>
    </row>
    <row r="332" spans="1:26" x14ac:dyDescent="0.25">
      <c r="A332">
        <v>1384</v>
      </c>
      <c r="B332" s="34">
        <v>41983</v>
      </c>
      <c r="C332">
        <v>10</v>
      </c>
      <c r="D332" t="s">
        <v>255</v>
      </c>
      <c r="E332" t="s">
        <v>256</v>
      </c>
      <c r="F332" t="s">
        <v>257</v>
      </c>
      <c r="G332" t="s">
        <v>258</v>
      </c>
      <c r="H332">
        <v>99999</v>
      </c>
      <c r="I332" t="s">
        <v>188</v>
      </c>
      <c r="J332" t="s">
        <v>259</v>
      </c>
      <c r="K332" t="s">
        <v>203</v>
      </c>
      <c r="L332" s="34">
        <v>41985</v>
      </c>
      <c r="M332" t="s">
        <v>204</v>
      </c>
      <c r="N332" t="s">
        <v>260</v>
      </c>
      <c r="O332" t="s">
        <v>256</v>
      </c>
      <c r="P332" t="s">
        <v>257</v>
      </c>
      <c r="Q332" t="s">
        <v>258</v>
      </c>
      <c r="R332">
        <v>99999</v>
      </c>
      <c r="S332" t="s">
        <v>188</v>
      </c>
      <c r="U332" t="s">
        <v>267</v>
      </c>
      <c r="V332" t="s">
        <v>268</v>
      </c>
      <c r="W332" s="35">
        <v>25</v>
      </c>
      <c r="X332">
        <v>94</v>
      </c>
      <c r="Y332" s="36">
        <v>2350</v>
      </c>
      <c r="Z332" s="35">
        <v>235</v>
      </c>
    </row>
    <row r="333" spans="1:26" x14ac:dyDescent="0.25">
      <c r="A333">
        <v>1385</v>
      </c>
      <c r="B333" s="34">
        <v>41983</v>
      </c>
      <c r="C333">
        <v>10</v>
      </c>
      <c r="D333" t="s">
        <v>255</v>
      </c>
      <c r="E333" t="s">
        <v>256</v>
      </c>
      <c r="F333" t="s">
        <v>257</v>
      </c>
      <c r="G333" t="s">
        <v>258</v>
      </c>
      <c r="H333">
        <v>99999</v>
      </c>
      <c r="I333" t="s">
        <v>188</v>
      </c>
      <c r="J333" t="s">
        <v>259</v>
      </c>
      <c r="K333" t="s">
        <v>203</v>
      </c>
      <c r="L333" s="34">
        <v>41985</v>
      </c>
      <c r="M333" t="s">
        <v>204</v>
      </c>
      <c r="N333" t="s">
        <v>260</v>
      </c>
      <c r="O333" t="s">
        <v>256</v>
      </c>
      <c r="P333" t="s">
        <v>257</v>
      </c>
      <c r="Q333" t="s">
        <v>258</v>
      </c>
      <c r="R333">
        <v>99999</v>
      </c>
      <c r="S333" t="s">
        <v>188</v>
      </c>
      <c r="U333" t="s">
        <v>269</v>
      </c>
      <c r="V333" t="s">
        <v>270</v>
      </c>
      <c r="W333" s="35">
        <v>22</v>
      </c>
      <c r="X333">
        <v>20</v>
      </c>
      <c r="Y333" s="36">
        <v>440</v>
      </c>
      <c r="Z333" s="35">
        <v>46.2</v>
      </c>
    </row>
    <row r="334" spans="1:26" x14ac:dyDescent="0.25">
      <c r="A334">
        <v>1386</v>
      </c>
      <c r="B334" s="34">
        <v>41983</v>
      </c>
      <c r="C334">
        <v>10</v>
      </c>
      <c r="D334" t="s">
        <v>255</v>
      </c>
      <c r="E334" t="s">
        <v>256</v>
      </c>
      <c r="F334" t="s">
        <v>257</v>
      </c>
      <c r="G334" t="s">
        <v>258</v>
      </c>
      <c r="H334">
        <v>99999</v>
      </c>
      <c r="I334" t="s">
        <v>188</v>
      </c>
      <c r="J334" t="s">
        <v>259</v>
      </c>
      <c r="K334" t="s">
        <v>203</v>
      </c>
      <c r="L334">
        <v>41985</v>
      </c>
      <c r="M334" t="s">
        <v>204</v>
      </c>
      <c r="N334" t="s">
        <v>260</v>
      </c>
      <c r="O334" t="s">
        <v>256</v>
      </c>
      <c r="P334" t="s">
        <v>257</v>
      </c>
      <c r="Q334" t="s">
        <v>258</v>
      </c>
      <c r="R334">
        <v>99999</v>
      </c>
      <c r="S334" t="s">
        <v>188</v>
      </c>
      <c r="U334" t="s">
        <v>222</v>
      </c>
      <c r="V334" t="s">
        <v>223</v>
      </c>
      <c r="W334" s="35">
        <v>9.1999999999999993</v>
      </c>
      <c r="X334">
        <v>13</v>
      </c>
      <c r="Y334" s="36">
        <v>119.6</v>
      </c>
      <c r="Z334" s="35">
        <v>12.438400000000001</v>
      </c>
    </row>
    <row r="335" spans="1:26" x14ac:dyDescent="0.25">
      <c r="A335">
        <v>1387</v>
      </c>
      <c r="B335" s="34">
        <v>41984</v>
      </c>
      <c r="C335">
        <v>11</v>
      </c>
      <c r="D335" t="s">
        <v>271</v>
      </c>
      <c r="E335" t="s">
        <v>272</v>
      </c>
      <c r="F335" t="s">
        <v>273</v>
      </c>
      <c r="G335" t="s">
        <v>274</v>
      </c>
      <c r="H335">
        <v>99999</v>
      </c>
      <c r="I335" t="s">
        <v>188</v>
      </c>
      <c r="J335" t="s">
        <v>252</v>
      </c>
      <c r="K335" t="s">
        <v>253</v>
      </c>
      <c r="M335" t="s">
        <v>220</v>
      </c>
      <c r="N335" t="s">
        <v>275</v>
      </c>
      <c r="O335" t="s">
        <v>272</v>
      </c>
      <c r="P335" t="s">
        <v>273</v>
      </c>
      <c r="Q335" t="s">
        <v>274</v>
      </c>
      <c r="R335">
        <v>99999</v>
      </c>
      <c r="S335" t="s">
        <v>188</v>
      </c>
      <c r="U335" t="s">
        <v>196</v>
      </c>
      <c r="V335" t="s">
        <v>197</v>
      </c>
      <c r="W335" s="35">
        <v>3.5</v>
      </c>
      <c r="X335">
        <v>74</v>
      </c>
      <c r="Y335" s="36">
        <v>259</v>
      </c>
      <c r="Z335" s="35">
        <v>26.936000000000003</v>
      </c>
    </row>
    <row r="336" spans="1:26" x14ac:dyDescent="0.25">
      <c r="A336">
        <v>1388</v>
      </c>
      <c r="B336" s="34">
        <v>41984</v>
      </c>
      <c r="C336">
        <v>11</v>
      </c>
      <c r="D336" t="s">
        <v>271</v>
      </c>
      <c r="E336" t="s">
        <v>272</v>
      </c>
      <c r="F336" t="s">
        <v>273</v>
      </c>
      <c r="G336" t="s">
        <v>274</v>
      </c>
      <c r="H336">
        <v>99999</v>
      </c>
      <c r="I336" t="s">
        <v>188</v>
      </c>
      <c r="J336" t="s">
        <v>252</v>
      </c>
      <c r="K336" t="s">
        <v>253</v>
      </c>
      <c r="M336" t="s">
        <v>220</v>
      </c>
      <c r="N336" t="s">
        <v>275</v>
      </c>
      <c r="O336" t="s">
        <v>272</v>
      </c>
      <c r="P336" t="s">
        <v>273</v>
      </c>
      <c r="Q336" t="s">
        <v>274</v>
      </c>
      <c r="R336">
        <v>99999</v>
      </c>
      <c r="S336" t="s">
        <v>188</v>
      </c>
      <c r="U336" t="s">
        <v>261</v>
      </c>
      <c r="V336" t="s">
        <v>195</v>
      </c>
      <c r="W336" s="35">
        <v>2.99</v>
      </c>
      <c r="X336">
        <v>53</v>
      </c>
      <c r="Y336" s="36">
        <v>158.47</v>
      </c>
      <c r="Z336" s="35">
        <v>16.005470000000003</v>
      </c>
    </row>
    <row r="337" spans="1:26" x14ac:dyDescent="0.25">
      <c r="A337">
        <v>1389</v>
      </c>
      <c r="B337" s="34">
        <v>41974</v>
      </c>
      <c r="C337">
        <v>1</v>
      </c>
      <c r="D337" t="s">
        <v>276</v>
      </c>
      <c r="E337" t="s">
        <v>277</v>
      </c>
      <c r="F337" t="s">
        <v>278</v>
      </c>
      <c r="G337" t="s">
        <v>279</v>
      </c>
      <c r="H337">
        <v>99999</v>
      </c>
      <c r="I337" t="s">
        <v>188</v>
      </c>
      <c r="J337" t="s">
        <v>218</v>
      </c>
      <c r="K337" t="s">
        <v>219</v>
      </c>
      <c r="N337" t="s">
        <v>280</v>
      </c>
      <c r="O337" t="s">
        <v>277</v>
      </c>
      <c r="P337" t="s">
        <v>278</v>
      </c>
      <c r="Q337" t="s">
        <v>279</v>
      </c>
      <c r="R337">
        <v>99999</v>
      </c>
      <c r="S337" t="s">
        <v>188</v>
      </c>
      <c r="U337" t="s">
        <v>212</v>
      </c>
      <c r="V337" t="s">
        <v>195</v>
      </c>
      <c r="W337" s="35">
        <v>18</v>
      </c>
      <c r="X337">
        <v>99</v>
      </c>
      <c r="Y337" s="36">
        <v>1782</v>
      </c>
      <c r="Z337" s="35">
        <v>174.63600000000002</v>
      </c>
    </row>
    <row r="338" spans="1:26" x14ac:dyDescent="0.25">
      <c r="A338">
        <v>1390</v>
      </c>
      <c r="B338" s="34">
        <v>41974</v>
      </c>
      <c r="C338">
        <v>1</v>
      </c>
      <c r="D338" t="s">
        <v>276</v>
      </c>
      <c r="E338" t="s">
        <v>277</v>
      </c>
      <c r="F338" t="s">
        <v>278</v>
      </c>
      <c r="G338" t="s">
        <v>279</v>
      </c>
      <c r="H338">
        <v>99999</v>
      </c>
      <c r="I338" t="s">
        <v>188</v>
      </c>
      <c r="J338" t="s">
        <v>218</v>
      </c>
      <c r="K338" t="s">
        <v>219</v>
      </c>
      <c r="N338" t="s">
        <v>280</v>
      </c>
      <c r="O338" t="s">
        <v>277</v>
      </c>
      <c r="P338" t="s">
        <v>278</v>
      </c>
      <c r="Q338" t="s">
        <v>279</v>
      </c>
      <c r="R338">
        <v>99999</v>
      </c>
      <c r="S338" t="s">
        <v>188</v>
      </c>
      <c r="U338" t="s">
        <v>213</v>
      </c>
      <c r="V338" t="s">
        <v>195</v>
      </c>
      <c r="W338" s="35">
        <v>46</v>
      </c>
      <c r="X338">
        <v>89</v>
      </c>
      <c r="Y338" s="36">
        <v>4094</v>
      </c>
      <c r="Z338" s="35">
        <v>388.93</v>
      </c>
    </row>
    <row r="339" spans="1:26" x14ac:dyDescent="0.25">
      <c r="A339">
        <v>1391</v>
      </c>
      <c r="B339" s="34">
        <v>41974</v>
      </c>
      <c r="C339">
        <v>1</v>
      </c>
      <c r="D339" t="s">
        <v>276</v>
      </c>
      <c r="E339" t="s">
        <v>277</v>
      </c>
      <c r="F339" t="s">
        <v>278</v>
      </c>
      <c r="G339" t="s">
        <v>279</v>
      </c>
      <c r="H339">
        <v>99999</v>
      </c>
      <c r="I339" t="s">
        <v>188</v>
      </c>
      <c r="J339" t="s">
        <v>218</v>
      </c>
      <c r="K339" t="s">
        <v>219</v>
      </c>
      <c r="L339" s="34"/>
      <c r="N339" t="s">
        <v>280</v>
      </c>
      <c r="O339" t="s">
        <v>277</v>
      </c>
      <c r="P339" t="s">
        <v>278</v>
      </c>
      <c r="Q339" t="s">
        <v>279</v>
      </c>
      <c r="R339">
        <v>99999</v>
      </c>
      <c r="S339" t="s">
        <v>188</v>
      </c>
      <c r="U339" t="s">
        <v>261</v>
      </c>
      <c r="V339" t="s">
        <v>195</v>
      </c>
      <c r="W339" s="35">
        <v>2.99</v>
      </c>
      <c r="X339">
        <v>64</v>
      </c>
      <c r="Y339" s="36">
        <v>191.36</v>
      </c>
      <c r="Z339" s="35">
        <v>19.518720000000002</v>
      </c>
    </row>
    <row r="340" spans="1:26" x14ac:dyDescent="0.25">
      <c r="A340">
        <v>1392</v>
      </c>
      <c r="B340" s="34">
        <v>42001</v>
      </c>
      <c r="C340">
        <v>28</v>
      </c>
      <c r="D340" t="s">
        <v>248</v>
      </c>
      <c r="E340" t="s">
        <v>249</v>
      </c>
      <c r="F340" t="s">
        <v>250</v>
      </c>
      <c r="G340" t="s">
        <v>251</v>
      </c>
      <c r="H340">
        <v>99999</v>
      </c>
      <c r="I340" t="s">
        <v>188</v>
      </c>
      <c r="J340" t="s">
        <v>252</v>
      </c>
      <c r="K340" t="s">
        <v>253</v>
      </c>
      <c r="L340" s="34">
        <v>42003</v>
      </c>
      <c r="M340" t="s">
        <v>220</v>
      </c>
      <c r="N340" t="s">
        <v>254</v>
      </c>
      <c r="O340" t="s">
        <v>249</v>
      </c>
      <c r="P340" t="s">
        <v>250</v>
      </c>
      <c r="Q340" t="s">
        <v>251</v>
      </c>
      <c r="R340">
        <v>99999</v>
      </c>
      <c r="S340" t="s">
        <v>188</v>
      </c>
      <c r="T340" t="s">
        <v>206</v>
      </c>
      <c r="U340" t="s">
        <v>238</v>
      </c>
      <c r="V340" t="s">
        <v>239</v>
      </c>
      <c r="W340" s="35">
        <v>9.65</v>
      </c>
      <c r="X340">
        <v>98</v>
      </c>
      <c r="Y340" s="36">
        <v>945.7</v>
      </c>
      <c r="Z340" s="35">
        <v>96.461400000000012</v>
      </c>
    </row>
    <row r="341" spans="1:26" x14ac:dyDescent="0.25">
      <c r="A341">
        <v>1393</v>
      </c>
      <c r="B341" s="34">
        <v>42001</v>
      </c>
      <c r="C341">
        <v>28</v>
      </c>
      <c r="D341" t="s">
        <v>248</v>
      </c>
      <c r="E341" t="s">
        <v>249</v>
      </c>
      <c r="F341" t="s">
        <v>250</v>
      </c>
      <c r="G341" t="s">
        <v>251</v>
      </c>
      <c r="H341">
        <v>99999</v>
      </c>
      <c r="I341" t="s">
        <v>188</v>
      </c>
      <c r="J341" t="s">
        <v>252</v>
      </c>
      <c r="K341" t="s">
        <v>253</v>
      </c>
      <c r="L341" s="34">
        <v>42003</v>
      </c>
      <c r="M341" t="s">
        <v>220</v>
      </c>
      <c r="N341" t="s">
        <v>254</v>
      </c>
      <c r="O341" t="s">
        <v>249</v>
      </c>
      <c r="P341" t="s">
        <v>250</v>
      </c>
      <c r="Q341" t="s">
        <v>251</v>
      </c>
      <c r="R341">
        <v>99999</v>
      </c>
      <c r="S341" t="s">
        <v>188</v>
      </c>
      <c r="T341" t="s">
        <v>206</v>
      </c>
      <c r="U341" t="s">
        <v>281</v>
      </c>
      <c r="V341" t="s">
        <v>282</v>
      </c>
      <c r="W341" s="35">
        <v>18.399999999999999</v>
      </c>
      <c r="X341">
        <v>86</v>
      </c>
      <c r="Y341" s="36">
        <v>1582.3999999999999</v>
      </c>
      <c r="Z341" s="35">
        <v>155.0752</v>
      </c>
    </row>
    <row r="342" spans="1:26" x14ac:dyDescent="0.25">
      <c r="A342">
        <v>1394</v>
      </c>
      <c r="B342" s="34">
        <v>41982</v>
      </c>
      <c r="C342">
        <v>9</v>
      </c>
      <c r="D342" t="s">
        <v>283</v>
      </c>
      <c r="E342" t="s">
        <v>284</v>
      </c>
      <c r="F342" t="s">
        <v>285</v>
      </c>
      <c r="G342" t="s">
        <v>286</v>
      </c>
      <c r="H342">
        <v>99999</v>
      </c>
      <c r="I342" t="s">
        <v>188</v>
      </c>
      <c r="J342" t="s">
        <v>287</v>
      </c>
      <c r="K342" t="s">
        <v>190</v>
      </c>
      <c r="L342" s="34">
        <v>41984</v>
      </c>
      <c r="M342" t="s">
        <v>204</v>
      </c>
      <c r="N342" t="s">
        <v>288</v>
      </c>
      <c r="O342" t="s">
        <v>284</v>
      </c>
      <c r="P342" t="s">
        <v>285</v>
      </c>
      <c r="Q342" t="s">
        <v>286</v>
      </c>
      <c r="R342">
        <v>99999</v>
      </c>
      <c r="S342" t="s">
        <v>188</v>
      </c>
      <c r="T342" t="s">
        <v>193</v>
      </c>
      <c r="U342" t="s">
        <v>289</v>
      </c>
      <c r="V342" t="s">
        <v>290</v>
      </c>
      <c r="W342" s="35">
        <v>19.5</v>
      </c>
      <c r="X342">
        <v>20</v>
      </c>
      <c r="Y342" s="36">
        <v>390</v>
      </c>
      <c r="Z342" s="35">
        <v>40.950000000000003</v>
      </c>
    </row>
    <row r="343" spans="1:26" x14ac:dyDescent="0.25">
      <c r="A343">
        <v>1395</v>
      </c>
      <c r="B343" s="34">
        <v>41982</v>
      </c>
      <c r="C343">
        <v>9</v>
      </c>
      <c r="D343" t="s">
        <v>283</v>
      </c>
      <c r="E343" t="s">
        <v>284</v>
      </c>
      <c r="F343" t="s">
        <v>285</v>
      </c>
      <c r="G343" t="s">
        <v>286</v>
      </c>
      <c r="H343">
        <v>99999</v>
      </c>
      <c r="I343" t="s">
        <v>188</v>
      </c>
      <c r="J343" t="s">
        <v>287</v>
      </c>
      <c r="K343" t="s">
        <v>190</v>
      </c>
      <c r="L343" s="34">
        <v>41984</v>
      </c>
      <c r="M343" t="s">
        <v>204</v>
      </c>
      <c r="N343" t="s">
        <v>288</v>
      </c>
      <c r="O343" t="s">
        <v>284</v>
      </c>
      <c r="P343" t="s">
        <v>285</v>
      </c>
      <c r="Q343" t="s">
        <v>286</v>
      </c>
      <c r="R343">
        <v>99999</v>
      </c>
      <c r="S343" t="s">
        <v>188</v>
      </c>
      <c r="T343" t="s">
        <v>193</v>
      </c>
      <c r="U343" t="s">
        <v>291</v>
      </c>
      <c r="V343" t="s">
        <v>292</v>
      </c>
      <c r="W343" s="35">
        <v>34.799999999999997</v>
      </c>
      <c r="X343">
        <v>69</v>
      </c>
      <c r="Y343" s="36">
        <v>2401.1999999999998</v>
      </c>
      <c r="Z343" s="35">
        <v>240.12</v>
      </c>
    </row>
    <row r="344" spans="1:26" x14ac:dyDescent="0.25">
      <c r="A344">
        <v>1396</v>
      </c>
      <c r="B344" s="34">
        <v>41979</v>
      </c>
      <c r="C344">
        <v>6</v>
      </c>
      <c r="D344" t="s">
        <v>240</v>
      </c>
      <c r="E344" t="s">
        <v>241</v>
      </c>
      <c r="F344" t="s">
        <v>242</v>
      </c>
      <c r="G344" t="s">
        <v>243</v>
      </c>
      <c r="H344">
        <v>99999</v>
      </c>
      <c r="I344" t="s">
        <v>188</v>
      </c>
      <c r="J344" t="s">
        <v>244</v>
      </c>
      <c r="K344" t="s">
        <v>219</v>
      </c>
      <c r="L344" s="34">
        <v>41981</v>
      </c>
      <c r="M344" t="s">
        <v>191</v>
      </c>
      <c r="N344" t="s">
        <v>245</v>
      </c>
      <c r="O344" t="s">
        <v>241</v>
      </c>
      <c r="P344" t="s">
        <v>242</v>
      </c>
      <c r="Q344" t="s">
        <v>243</v>
      </c>
      <c r="R344">
        <v>99999</v>
      </c>
      <c r="S344" t="s">
        <v>188</v>
      </c>
      <c r="T344" t="s">
        <v>206</v>
      </c>
      <c r="U344" t="s">
        <v>194</v>
      </c>
      <c r="V344" t="s">
        <v>195</v>
      </c>
      <c r="W344" s="35">
        <v>14</v>
      </c>
      <c r="X344">
        <v>68</v>
      </c>
      <c r="Y344" s="36">
        <v>952</v>
      </c>
      <c r="Z344" s="35">
        <v>91.391999999999996</v>
      </c>
    </row>
    <row r="345" spans="1:26" x14ac:dyDescent="0.25">
      <c r="A345">
        <v>1397</v>
      </c>
      <c r="B345" s="34">
        <v>41981</v>
      </c>
      <c r="C345">
        <v>8</v>
      </c>
      <c r="D345" t="s">
        <v>214</v>
      </c>
      <c r="E345" t="s">
        <v>215</v>
      </c>
      <c r="F345" t="s">
        <v>216</v>
      </c>
      <c r="G345" t="s">
        <v>217</v>
      </c>
      <c r="H345">
        <v>99999</v>
      </c>
      <c r="I345" t="s">
        <v>188</v>
      </c>
      <c r="J345" t="s">
        <v>218</v>
      </c>
      <c r="K345" t="s">
        <v>219</v>
      </c>
      <c r="L345" s="34">
        <v>41983</v>
      </c>
      <c r="M345" t="s">
        <v>191</v>
      </c>
      <c r="N345" t="s">
        <v>221</v>
      </c>
      <c r="O345" t="s">
        <v>215</v>
      </c>
      <c r="P345" t="s">
        <v>216</v>
      </c>
      <c r="Q345" t="s">
        <v>217</v>
      </c>
      <c r="R345">
        <v>99999</v>
      </c>
      <c r="S345" t="s">
        <v>188</v>
      </c>
      <c r="T345" t="s">
        <v>193</v>
      </c>
      <c r="U345" t="s">
        <v>246</v>
      </c>
      <c r="V345" t="s">
        <v>247</v>
      </c>
      <c r="W345" s="35">
        <v>40</v>
      </c>
      <c r="X345">
        <v>52</v>
      </c>
      <c r="Y345" s="36">
        <v>2080</v>
      </c>
      <c r="Z345" s="35">
        <v>203.84</v>
      </c>
    </row>
    <row r="346" spans="1:26" x14ac:dyDescent="0.25">
      <c r="A346">
        <v>1398</v>
      </c>
      <c r="B346" s="34">
        <v>41981</v>
      </c>
      <c r="C346">
        <v>8</v>
      </c>
      <c r="D346" t="s">
        <v>214</v>
      </c>
      <c r="E346" t="s">
        <v>215</v>
      </c>
      <c r="F346" t="s">
        <v>216</v>
      </c>
      <c r="G346" t="s">
        <v>217</v>
      </c>
      <c r="H346">
        <v>99999</v>
      </c>
      <c r="I346" t="s">
        <v>188</v>
      </c>
      <c r="J346" t="s">
        <v>218</v>
      </c>
      <c r="K346" t="s">
        <v>219</v>
      </c>
      <c r="L346" s="34">
        <v>41983</v>
      </c>
      <c r="M346" t="s">
        <v>191</v>
      </c>
      <c r="N346" t="s">
        <v>221</v>
      </c>
      <c r="O346" t="s">
        <v>215</v>
      </c>
      <c r="P346" t="s">
        <v>216</v>
      </c>
      <c r="Q346" t="s">
        <v>217</v>
      </c>
      <c r="R346">
        <v>99999</v>
      </c>
      <c r="S346" t="s">
        <v>188</v>
      </c>
      <c r="T346" t="s">
        <v>193</v>
      </c>
      <c r="U346" t="s">
        <v>222</v>
      </c>
      <c r="V346" t="s">
        <v>223</v>
      </c>
      <c r="W346" s="35">
        <v>9.1999999999999993</v>
      </c>
      <c r="X346">
        <v>40</v>
      </c>
      <c r="Y346" s="36">
        <v>368</v>
      </c>
      <c r="Z346" s="35">
        <v>38.640000000000008</v>
      </c>
    </row>
    <row r="347" spans="1:26" x14ac:dyDescent="0.25">
      <c r="A347">
        <v>1399</v>
      </c>
      <c r="B347" s="34">
        <v>41998</v>
      </c>
      <c r="C347">
        <v>25</v>
      </c>
      <c r="D347" t="s">
        <v>295</v>
      </c>
      <c r="E347" t="s">
        <v>296</v>
      </c>
      <c r="F347" t="s">
        <v>257</v>
      </c>
      <c r="G347" t="s">
        <v>258</v>
      </c>
      <c r="H347">
        <v>99999</v>
      </c>
      <c r="I347" t="s">
        <v>188</v>
      </c>
      <c r="J347" t="s">
        <v>259</v>
      </c>
      <c r="K347" t="s">
        <v>203</v>
      </c>
      <c r="L347" s="34">
        <v>42000</v>
      </c>
      <c r="M347" t="s">
        <v>204</v>
      </c>
      <c r="N347" t="s">
        <v>297</v>
      </c>
      <c r="O347" t="s">
        <v>296</v>
      </c>
      <c r="P347" t="s">
        <v>257</v>
      </c>
      <c r="Q347" t="s">
        <v>258</v>
      </c>
      <c r="R347">
        <v>99999</v>
      </c>
      <c r="S347" t="s">
        <v>188</v>
      </c>
      <c r="T347" t="s">
        <v>237</v>
      </c>
      <c r="U347" t="s">
        <v>304</v>
      </c>
      <c r="V347" t="s">
        <v>223</v>
      </c>
      <c r="W347" s="35">
        <v>10</v>
      </c>
      <c r="X347">
        <v>100</v>
      </c>
      <c r="Y347" s="36">
        <v>1000</v>
      </c>
      <c r="Z347" s="35">
        <v>98</v>
      </c>
    </row>
    <row r="348" spans="1:26" x14ac:dyDescent="0.25">
      <c r="A348">
        <v>1400</v>
      </c>
      <c r="B348" s="34">
        <v>41999</v>
      </c>
      <c r="C348">
        <v>26</v>
      </c>
      <c r="D348" t="s">
        <v>298</v>
      </c>
      <c r="E348" t="s">
        <v>299</v>
      </c>
      <c r="F348" t="s">
        <v>273</v>
      </c>
      <c r="G348" t="s">
        <v>274</v>
      </c>
      <c r="H348">
        <v>99999</v>
      </c>
      <c r="I348" t="s">
        <v>188</v>
      </c>
      <c r="J348" t="s">
        <v>252</v>
      </c>
      <c r="K348" t="s">
        <v>253</v>
      </c>
      <c r="L348" s="34">
        <v>42001</v>
      </c>
      <c r="M348" t="s">
        <v>220</v>
      </c>
      <c r="N348" t="s">
        <v>300</v>
      </c>
      <c r="O348" t="s">
        <v>299</v>
      </c>
      <c r="P348" t="s">
        <v>273</v>
      </c>
      <c r="Q348" t="s">
        <v>274</v>
      </c>
      <c r="R348">
        <v>99999</v>
      </c>
      <c r="S348" t="s">
        <v>188</v>
      </c>
      <c r="T348" t="s">
        <v>206</v>
      </c>
      <c r="U348" t="s">
        <v>305</v>
      </c>
      <c r="V348" t="s">
        <v>306</v>
      </c>
      <c r="W348" s="35">
        <v>21.35</v>
      </c>
      <c r="X348">
        <v>88</v>
      </c>
      <c r="Y348" s="36">
        <v>1878.8000000000002</v>
      </c>
      <c r="Z348" s="35">
        <v>184.12240000000003</v>
      </c>
    </row>
    <row r="349" spans="1:26" x14ac:dyDescent="0.25">
      <c r="A349">
        <v>1401</v>
      </c>
      <c r="B349" s="34">
        <v>41999</v>
      </c>
      <c r="C349">
        <v>26</v>
      </c>
      <c r="D349" t="s">
        <v>298</v>
      </c>
      <c r="E349" t="s">
        <v>299</v>
      </c>
      <c r="F349" t="s">
        <v>273</v>
      </c>
      <c r="G349" t="s">
        <v>274</v>
      </c>
      <c r="H349">
        <v>99999</v>
      </c>
      <c r="I349" t="s">
        <v>188</v>
      </c>
      <c r="J349" t="s">
        <v>252</v>
      </c>
      <c r="K349" t="s">
        <v>253</v>
      </c>
      <c r="L349" s="34">
        <v>42001</v>
      </c>
      <c r="M349" t="s">
        <v>220</v>
      </c>
      <c r="N349" t="s">
        <v>300</v>
      </c>
      <c r="O349" t="s">
        <v>299</v>
      </c>
      <c r="P349" t="s">
        <v>273</v>
      </c>
      <c r="Q349" t="s">
        <v>274</v>
      </c>
      <c r="R349">
        <v>99999</v>
      </c>
      <c r="S349" t="s">
        <v>188</v>
      </c>
      <c r="T349" t="s">
        <v>206</v>
      </c>
      <c r="U349" t="s">
        <v>238</v>
      </c>
      <c r="V349" t="s">
        <v>239</v>
      </c>
      <c r="W349" s="35">
        <v>9.65</v>
      </c>
      <c r="X349">
        <v>46</v>
      </c>
      <c r="Y349" s="36">
        <v>443.90000000000003</v>
      </c>
      <c r="Z349" s="35">
        <v>42.614400000000003</v>
      </c>
    </row>
    <row r="350" spans="1:26" x14ac:dyDescent="0.25">
      <c r="A350">
        <v>1402</v>
      </c>
      <c r="B350" s="34">
        <v>41999</v>
      </c>
      <c r="C350">
        <v>26</v>
      </c>
      <c r="D350" t="s">
        <v>298</v>
      </c>
      <c r="E350" t="s">
        <v>299</v>
      </c>
      <c r="F350" t="s">
        <v>273</v>
      </c>
      <c r="G350" t="s">
        <v>274</v>
      </c>
      <c r="H350">
        <v>99999</v>
      </c>
      <c r="I350" t="s">
        <v>188</v>
      </c>
      <c r="J350" t="s">
        <v>252</v>
      </c>
      <c r="K350" t="s">
        <v>253</v>
      </c>
      <c r="L350" s="34">
        <v>42001</v>
      </c>
      <c r="M350" t="s">
        <v>220</v>
      </c>
      <c r="N350" t="s">
        <v>300</v>
      </c>
      <c r="O350" t="s">
        <v>299</v>
      </c>
      <c r="P350" t="s">
        <v>273</v>
      </c>
      <c r="Q350" t="s">
        <v>274</v>
      </c>
      <c r="R350">
        <v>99999</v>
      </c>
      <c r="S350" t="s">
        <v>188</v>
      </c>
      <c r="T350" t="s">
        <v>206</v>
      </c>
      <c r="U350" t="s">
        <v>281</v>
      </c>
      <c r="V350" t="s">
        <v>282</v>
      </c>
      <c r="W350" s="35">
        <v>18.399999999999999</v>
      </c>
      <c r="X350">
        <v>93</v>
      </c>
      <c r="Y350" s="36">
        <v>1711.1999999999998</v>
      </c>
      <c r="Z350" s="35">
        <v>167.69759999999999</v>
      </c>
    </row>
    <row r="351" spans="1:26" x14ac:dyDescent="0.25">
      <c r="A351">
        <v>1403</v>
      </c>
      <c r="B351" s="34">
        <v>42002</v>
      </c>
      <c r="C351">
        <v>29</v>
      </c>
      <c r="D351" t="s">
        <v>224</v>
      </c>
      <c r="E351" t="s">
        <v>225</v>
      </c>
      <c r="F351" t="s">
        <v>226</v>
      </c>
      <c r="G351" t="s">
        <v>227</v>
      </c>
      <c r="H351">
        <v>99999</v>
      </c>
      <c r="I351" t="s">
        <v>188</v>
      </c>
      <c r="J351" t="s">
        <v>228</v>
      </c>
      <c r="K351" t="s">
        <v>190</v>
      </c>
      <c r="L351" s="34">
        <v>42004</v>
      </c>
      <c r="M351" t="s">
        <v>191</v>
      </c>
      <c r="N351" t="s">
        <v>229</v>
      </c>
      <c r="O351" t="s">
        <v>225</v>
      </c>
      <c r="P351" t="s">
        <v>226</v>
      </c>
      <c r="Q351" t="s">
        <v>227</v>
      </c>
      <c r="R351">
        <v>99999</v>
      </c>
      <c r="S351" t="s">
        <v>188</v>
      </c>
      <c r="T351" t="s">
        <v>193</v>
      </c>
      <c r="U351" t="s">
        <v>194</v>
      </c>
      <c r="V351" t="s">
        <v>195</v>
      </c>
      <c r="W351" s="35">
        <v>14</v>
      </c>
      <c r="X351">
        <v>96</v>
      </c>
      <c r="Y351" s="36">
        <v>1344</v>
      </c>
      <c r="Z351" s="35">
        <v>141.12</v>
      </c>
    </row>
    <row r="352" spans="1:26" x14ac:dyDescent="0.25">
      <c r="A352">
        <v>1404</v>
      </c>
      <c r="B352" s="34">
        <v>41979</v>
      </c>
      <c r="C352">
        <v>6</v>
      </c>
      <c r="D352" t="s">
        <v>240</v>
      </c>
      <c r="E352" t="s">
        <v>241</v>
      </c>
      <c r="F352" t="s">
        <v>242</v>
      </c>
      <c r="G352" t="s">
        <v>243</v>
      </c>
      <c r="H352">
        <v>99999</v>
      </c>
      <c r="I352" t="s">
        <v>188</v>
      </c>
      <c r="J352" t="s">
        <v>244</v>
      </c>
      <c r="K352" t="s">
        <v>219</v>
      </c>
      <c r="L352" s="34">
        <v>41981</v>
      </c>
      <c r="M352" t="s">
        <v>220</v>
      </c>
      <c r="N352" t="s">
        <v>245</v>
      </c>
      <c r="O352" t="s">
        <v>241</v>
      </c>
      <c r="P352" t="s">
        <v>242</v>
      </c>
      <c r="Q352" t="s">
        <v>243</v>
      </c>
      <c r="R352">
        <v>99999</v>
      </c>
      <c r="S352" t="s">
        <v>188</v>
      </c>
      <c r="T352" t="s">
        <v>193</v>
      </c>
      <c r="U352" t="s">
        <v>230</v>
      </c>
      <c r="V352" t="s">
        <v>231</v>
      </c>
      <c r="W352">
        <v>12.75</v>
      </c>
      <c r="X352">
        <v>12</v>
      </c>
      <c r="Y352" s="36">
        <v>153</v>
      </c>
      <c r="Z352" s="35">
        <v>16.065000000000001</v>
      </c>
    </row>
    <row r="353" spans="1:26" x14ac:dyDescent="0.25">
      <c r="A353">
        <v>1406</v>
      </c>
      <c r="B353" s="34">
        <v>41977</v>
      </c>
      <c r="C353">
        <v>4</v>
      </c>
      <c r="D353" t="s">
        <v>198</v>
      </c>
      <c r="E353" t="s">
        <v>199</v>
      </c>
      <c r="F353" t="s">
        <v>200</v>
      </c>
      <c r="G353" t="s">
        <v>201</v>
      </c>
      <c r="H353">
        <v>99999</v>
      </c>
      <c r="I353" t="s">
        <v>188</v>
      </c>
      <c r="J353" t="s">
        <v>202</v>
      </c>
      <c r="K353" t="s">
        <v>203</v>
      </c>
      <c r="L353" s="34">
        <v>41979</v>
      </c>
      <c r="M353" t="s">
        <v>204</v>
      </c>
      <c r="N353" t="s">
        <v>205</v>
      </c>
      <c r="O353" t="s">
        <v>199</v>
      </c>
      <c r="P353" t="s">
        <v>200</v>
      </c>
      <c r="Q353" t="s">
        <v>201</v>
      </c>
      <c r="R353">
        <v>99999</v>
      </c>
      <c r="S353" t="s">
        <v>188</v>
      </c>
      <c r="T353" t="s">
        <v>206</v>
      </c>
      <c r="U353" t="s">
        <v>307</v>
      </c>
      <c r="V353" t="s">
        <v>268</v>
      </c>
      <c r="W353">
        <v>81</v>
      </c>
      <c r="X353">
        <v>38</v>
      </c>
      <c r="Y353" s="36">
        <v>3078</v>
      </c>
      <c r="Z353" s="35">
        <v>292.41000000000003</v>
      </c>
    </row>
    <row r="354" spans="1:26" x14ac:dyDescent="0.25">
      <c r="A354">
        <v>1407</v>
      </c>
      <c r="B354" s="34">
        <v>41977</v>
      </c>
      <c r="C354">
        <v>4</v>
      </c>
      <c r="D354" t="s">
        <v>198</v>
      </c>
      <c r="E354" t="s">
        <v>199</v>
      </c>
      <c r="F354" t="s">
        <v>200</v>
      </c>
      <c r="G354" t="s">
        <v>201</v>
      </c>
      <c r="H354">
        <v>99999</v>
      </c>
      <c r="I354" t="s">
        <v>188</v>
      </c>
      <c r="J354" t="s">
        <v>202</v>
      </c>
      <c r="K354" t="s">
        <v>203</v>
      </c>
      <c r="L354" s="34">
        <v>41979</v>
      </c>
      <c r="M354" t="s">
        <v>204</v>
      </c>
      <c r="N354" t="s">
        <v>205</v>
      </c>
      <c r="O354" t="s">
        <v>199</v>
      </c>
      <c r="P354" t="s">
        <v>200</v>
      </c>
      <c r="Q354" t="s">
        <v>201</v>
      </c>
      <c r="R354">
        <v>99999</v>
      </c>
      <c r="S354" t="s">
        <v>188</v>
      </c>
      <c r="T354" t="s">
        <v>206</v>
      </c>
      <c r="U354" t="s">
        <v>308</v>
      </c>
      <c r="V354" t="s">
        <v>309</v>
      </c>
      <c r="W354">
        <v>7</v>
      </c>
      <c r="X354">
        <v>42</v>
      </c>
      <c r="Y354" s="36">
        <v>294</v>
      </c>
      <c r="Z354" s="35">
        <v>29.106000000000002</v>
      </c>
    </row>
    <row r="355" spans="1:26" x14ac:dyDescent="0.25">
      <c r="A355">
        <v>1409</v>
      </c>
      <c r="B355" s="34">
        <v>41981</v>
      </c>
      <c r="C355">
        <v>8</v>
      </c>
      <c r="D355" t="s">
        <v>214</v>
      </c>
      <c r="E355" t="s">
        <v>215</v>
      </c>
      <c r="F355" t="s">
        <v>216</v>
      </c>
      <c r="G355" t="s">
        <v>217</v>
      </c>
      <c r="H355">
        <v>99999</v>
      </c>
      <c r="I355" t="s">
        <v>188</v>
      </c>
      <c r="J355" t="s">
        <v>218</v>
      </c>
      <c r="K355" t="s">
        <v>219</v>
      </c>
      <c r="L355" s="34">
        <v>41983</v>
      </c>
      <c r="M355" t="s">
        <v>220</v>
      </c>
      <c r="N355" t="s">
        <v>221</v>
      </c>
      <c r="O355" t="s">
        <v>215</v>
      </c>
      <c r="P355" t="s">
        <v>216</v>
      </c>
      <c r="Q355" t="s">
        <v>217</v>
      </c>
      <c r="R355">
        <v>99999</v>
      </c>
      <c r="S355" t="s">
        <v>188</v>
      </c>
      <c r="T355" t="s">
        <v>206</v>
      </c>
      <c r="U355" t="s">
        <v>291</v>
      </c>
      <c r="V355" t="s">
        <v>292</v>
      </c>
      <c r="W355">
        <v>34.799999999999997</v>
      </c>
      <c r="X355">
        <v>100</v>
      </c>
      <c r="Y355" s="36">
        <v>3479.9999999999995</v>
      </c>
      <c r="Z355" s="35">
        <v>344.52</v>
      </c>
    </row>
    <row r="356" spans="1:26" x14ac:dyDescent="0.25">
      <c r="A356">
        <v>1412</v>
      </c>
      <c r="B356" s="34">
        <v>41976</v>
      </c>
      <c r="C356">
        <v>3</v>
      </c>
      <c r="D356" t="s">
        <v>232</v>
      </c>
      <c r="E356" t="s">
        <v>233</v>
      </c>
      <c r="F356" t="s">
        <v>234</v>
      </c>
      <c r="G356" t="s">
        <v>235</v>
      </c>
      <c r="H356">
        <v>99999</v>
      </c>
      <c r="I356" t="s">
        <v>188</v>
      </c>
      <c r="J356" t="s">
        <v>189</v>
      </c>
      <c r="K356" t="s">
        <v>190</v>
      </c>
      <c r="L356" s="34">
        <v>41978</v>
      </c>
      <c r="M356" t="s">
        <v>191</v>
      </c>
      <c r="N356" t="s">
        <v>236</v>
      </c>
      <c r="O356" t="s">
        <v>233</v>
      </c>
      <c r="P356" t="s">
        <v>234</v>
      </c>
      <c r="Q356" t="s">
        <v>235</v>
      </c>
      <c r="R356">
        <v>99999</v>
      </c>
      <c r="S356" t="s">
        <v>188</v>
      </c>
      <c r="T356" t="s">
        <v>237</v>
      </c>
      <c r="U356" t="s">
        <v>293</v>
      </c>
      <c r="V356" t="s">
        <v>270</v>
      </c>
      <c r="W356">
        <v>10</v>
      </c>
      <c r="X356">
        <v>89</v>
      </c>
      <c r="Y356" s="36">
        <v>890</v>
      </c>
      <c r="Z356" s="35">
        <v>87.22</v>
      </c>
    </row>
    <row r="357" spans="1:26" x14ac:dyDescent="0.25">
      <c r="A357">
        <v>1413</v>
      </c>
      <c r="B357" s="34">
        <v>41976</v>
      </c>
      <c r="C357">
        <v>3</v>
      </c>
      <c r="D357" t="s">
        <v>232</v>
      </c>
      <c r="E357" t="s">
        <v>233</v>
      </c>
      <c r="F357" t="s">
        <v>234</v>
      </c>
      <c r="G357" t="s">
        <v>235</v>
      </c>
      <c r="H357">
        <v>99999</v>
      </c>
      <c r="I357" t="s">
        <v>188</v>
      </c>
      <c r="J357" t="s">
        <v>189</v>
      </c>
      <c r="K357" t="s">
        <v>190</v>
      </c>
      <c r="L357" s="34">
        <v>41978</v>
      </c>
      <c r="M357" t="s">
        <v>191</v>
      </c>
      <c r="N357" t="s">
        <v>236</v>
      </c>
      <c r="O357" t="s">
        <v>233</v>
      </c>
      <c r="P357" t="s">
        <v>234</v>
      </c>
      <c r="Q357" t="s">
        <v>235</v>
      </c>
      <c r="R357">
        <v>99999</v>
      </c>
      <c r="S357" t="s">
        <v>188</v>
      </c>
      <c r="T357" t="s">
        <v>237</v>
      </c>
      <c r="U357" t="s">
        <v>246</v>
      </c>
      <c r="V357" t="s">
        <v>247</v>
      </c>
      <c r="W357">
        <v>40</v>
      </c>
      <c r="X357">
        <v>12</v>
      </c>
      <c r="Y357" s="36">
        <v>480</v>
      </c>
      <c r="Z357" s="35">
        <v>46.56</v>
      </c>
    </row>
    <row r="358" spans="1:26" x14ac:dyDescent="0.25">
      <c r="A358">
        <v>1417</v>
      </c>
      <c r="B358" s="34">
        <v>41983</v>
      </c>
      <c r="C358">
        <v>10</v>
      </c>
      <c r="D358" t="s">
        <v>255</v>
      </c>
      <c r="E358" t="s">
        <v>256</v>
      </c>
      <c r="F358" t="s">
        <v>257</v>
      </c>
      <c r="G358" t="s">
        <v>258</v>
      </c>
      <c r="H358">
        <v>99999</v>
      </c>
      <c r="I358" t="s">
        <v>188</v>
      </c>
      <c r="J358" t="s">
        <v>259</v>
      </c>
      <c r="K358" t="s">
        <v>203</v>
      </c>
      <c r="L358" s="34">
        <v>41985</v>
      </c>
      <c r="M358" t="s">
        <v>191</v>
      </c>
      <c r="N358" t="s">
        <v>260</v>
      </c>
      <c r="O358" t="s">
        <v>256</v>
      </c>
      <c r="P358" t="s">
        <v>257</v>
      </c>
      <c r="Q358" t="s">
        <v>258</v>
      </c>
      <c r="R358">
        <v>99999</v>
      </c>
      <c r="S358" t="s">
        <v>188</v>
      </c>
      <c r="T358" t="s">
        <v>206</v>
      </c>
      <c r="U358" t="s">
        <v>294</v>
      </c>
      <c r="V358" t="s">
        <v>197</v>
      </c>
      <c r="W358">
        <v>10</v>
      </c>
      <c r="X358">
        <v>97</v>
      </c>
      <c r="Y358" s="36">
        <v>970</v>
      </c>
      <c r="Z358" s="35">
        <v>100.88000000000001</v>
      </c>
    </row>
    <row r="359" spans="1:26" x14ac:dyDescent="0.25">
      <c r="A359">
        <v>1419</v>
      </c>
      <c r="B359" s="34">
        <v>41983</v>
      </c>
      <c r="C359">
        <v>10</v>
      </c>
      <c r="D359" t="s">
        <v>255</v>
      </c>
      <c r="E359" t="s">
        <v>256</v>
      </c>
      <c r="F359" t="s">
        <v>257</v>
      </c>
      <c r="G359" t="s">
        <v>258</v>
      </c>
      <c r="H359">
        <v>99999</v>
      </c>
      <c r="I359" t="s">
        <v>188</v>
      </c>
      <c r="J359" t="s">
        <v>259</v>
      </c>
      <c r="K359" t="s">
        <v>203</v>
      </c>
      <c r="L359" s="34"/>
      <c r="M359" t="s">
        <v>204</v>
      </c>
      <c r="N359" t="s">
        <v>260</v>
      </c>
      <c r="O359" t="s">
        <v>256</v>
      </c>
      <c r="P359" t="s">
        <v>257</v>
      </c>
      <c r="Q359" t="s">
        <v>258</v>
      </c>
      <c r="R359">
        <v>99999</v>
      </c>
      <c r="S359" t="s">
        <v>188</v>
      </c>
      <c r="U359" t="s">
        <v>196</v>
      </c>
      <c r="V359" t="s">
        <v>197</v>
      </c>
      <c r="W359">
        <v>3.5</v>
      </c>
      <c r="X359">
        <v>53</v>
      </c>
      <c r="Y359" s="36">
        <v>185.5</v>
      </c>
      <c r="Z359" s="35">
        <v>17.622499999999999</v>
      </c>
    </row>
    <row r="360" spans="1:26" x14ac:dyDescent="0.25">
      <c r="A360">
        <v>1420</v>
      </c>
      <c r="B360" s="34">
        <v>41984</v>
      </c>
      <c r="C360">
        <v>11</v>
      </c>
      <c r="D360" t="s">
        <v>271</v>
      </c>
      <c r="E360" t="s">
        <v>272</v>
      </c>
      <c r="F360" t="s">
        <v>273</v>
      </c>
      <c r="G360" t="s">
        <v>274</v>
      </c>
      <c r="H360">
        <v>99999</v>
      </c>
      <c r="I360" t="s">
        <v>188</v>
      </c>
      <c r="J360" t="s">
        <v>252</v>
      </c>
      <c r="K360" t="s">
        <v>253</v>
      </c>
      <c r="L360" s="34"/>
      <c r="M360" t="s">
        <v>220</v>
      </c>
      <c r="N360" t="s">
        <v>275</v>
      </c>
      <c r="O360" t="s">
        <v>272</v>
      </c>
      <c r="P360" t="s">
        <v>273</v>
      </c>
      <c r="Q360" t="s">
        <v>274</v>
      </c>
      <c r="R360">
        <v>99999</v>
      </c>
      <c r="S360" t="s">
        <v>188</v>
      </c>
      <c r="U360" t="s">
        <v>246</v>
      </c>
      <c r="V360" t="s">
        <v>247</v>
      </c>
      <c r="W360">
        <v>40</v>
      </c>
      <c r="X360">
        <v>61</v>
      </c>
      <c r="Y360" s="36">
        <v>2440</v>
      </c>
      <c r="Z360" s="35">
        <v>248.88</v>
      </c>
    </row>
    <row r="361" spans="1:26" x14ac:dyDescent="0.25">
      <c r="A361">
        <v>1421</v>
      </c>
      <c r="B361" s="34">
        <v>41974</v>
      </c>
      <c r="C361">
        <v>1</v>
      </c>
      <c r="D361" t="s">
        <v>276</v>
      </c>
      <c r="E361" t="s">
        <v>277</v>
      </c>
      <c r="F361" t="s">
        <v>278</v>
      </c>
      <c r="G361" t="s">
        <v>279</v>
      </c>
      <c r="H361">
        <v>99999</v>
      </c>
      <c r="I361" t="s">
        <v>188</v>
      </c>
      <c r="J361" t="s">
        <v>218</v>
      </c>
      <c r="K361" t="s">
        <v>219</v>
      </c>
      <c r="L361" s="34"/>
      <c r="M361" t="s">
        <v>220</v>
      </c>
      <c r="N361" t="s">
        <v>280</v>
      </c>
      <c r="O361" t="s">
        <v>277</v>
      </c>
      <c r="P361" t="s">
        <v>278</v>
      </c>
      <c r="Q361" t="s">
        <v>279</v>
      </c>
      <c r="R361">
        <v>99999</v>
      </c>
      <c r="S361" t="s">
        <v>188</v>
      </c>
      <c r="U361" t="s">
        <v>281</v>
      </c>
      <c r="V361" t="s">
        <v>282</v>
      </c>
      <c r="W361">
        <v>18.399999999999999</v>
      </c>
      <c r="X361">
        <v>45</v>
      </c>
      <c r="Y361" s="36">
        <v>827.99999999999989</v>
      </c>
      <c r="Z361" s="35">
        <v>81.143999999999991</v>
      </c>
    </row>
    <row r="362" spans="1:26" x14ac:dyDescent="0.25">
      <c r="A362">
        <v>1422</v>
      </c>
      <c r="B362" s="34">
        <v>42001</v>
      </c>
      <c r="C362">
        <v>28</v>
      </c>
      <c r="D362" t="s">
        <v>248</v>
      </c>
      <c r="E362" t="s">
        <v>249</v>
      </c>
      <c r="F362" t="s">
        <v>250</v>
      </c>
      <c r="G362" t="s">
        <v>251</v>
      </c>
      <c r="H362">
        <v>99999</v>
      </c>
      <c r="I362" t="s">
        <v>188</v>
      </c>
      <c r="J362" t="s">
        <v>252</v>
      </c>
      <c r="K362" t="s">
        <v>253</v>
      </c>
      <c r="L362" s="34">
        <v>42003</v>
      </c>
      <c r="M362" t="s">
        <v>220</v>
      </c>
      <c r="N362" t="s">
        <v>254</v>
      </c>
      <c r="O362" t="s">
        <v>249</v>
      </c>
      <c r="P362" t="s">
        <v>250</v>
      </c>
      <c r="Q362" t="s">
        <v>251</v>
      </c>
      <c r="R362">
        <v>99999</v>
      </c>
      <c r="S362" t="s">
        <v>188</v>
      </c>
      <c r="T362" t="s">
        <v>206</v>
      </c>
      <c r="U362" t="s">
        <v>213</v>
      </c>
      <c r="V362" t="s">
        <v>195</v>
      </c>
      <c r="W362">
        <v>46</v>
      </c>
      <c r="X362">
        <v>43</v>
      </c>
      <c r="Y362" s="36">
        <v>1978</v>
      </c>
      <c r="Z362" s="35">
        <v>197.8</v>
      </c>
    </row>
    <row r="363" spans="1:26" x14ac:dyDescent="0.25">
      <c r="A363">
        <v>1423</v>
      </c>
      <c r="B363" s="34">
        <v>41982</v>
      </c>
      <c r="C363">
        <v>9</v>
      </c>
      <c r="D363" t="s">
        <v>283</v>
      </c>
      <c r="E363" t="s">
        <v>284</v>
      </c>
      <c r="F363" t="s">
        <v>285</v>
      </c>
      <c r="G363" t="s">
        <v>286</v>
      </c>
      <c r="H363">
        <v>99999</v>
      </c>
      <c r="I363" t="s">
        <v>188</v>
      </c>
      <c r="J363" t="s">
        <v>287</v>
      </c>
      <c r="K363" t="s">
        <v>190</v>
      </c>
      <c r="L363" s="34">
        <v>41984</v>
      </c>
      <c r="M363" t="s">
        <v>204</v>
      </c>
      <c r="N363" t="s">
        <v>288</v>
      </c>
      <c r="O363" t="s">
        <v>284</v>
      </c>
      <c r="P363" t="s">
        <v>285</v>
      </c>
      <c r="Q363" t="s">
        <v>286</v>
      </c>
      <c r="R363">
        <v>99999</v>
      </c>
      <c r="S363" t="s">
        <v>188</v>
      </c>
      <c r="T363" t="s">
        <v>193</v>
      </c>
      <c r="U363" t="s">
        <v>238</v>
      </c>
      <c r="V363" t="s">
        <v>239</v>
      </c>
      <c r="W363">
        <v>9.65</v>
      </c>
      <c r="X363">
        <v>18</v>
      </c>
      <c r="Y363" s="36">
        <v>173.70000000000002</v>
      </c>
      <c r="Z363" s="35">
        <v>16.5015</v>
      </c>
    </row>
    <row r="364" spans="1:26" x14ac:dyDescent="0.25">
      <c r="A364">
        <v>1424</v>
      </c>
      <c r="B364" s="34">
        <v>41979</v>
      </c>
      <c r="C364">
        <v>6</v>
      </c>
      <c r="D364" t="s">
        <v>240</v>
      </c>
      <c r="E364" t="s">
        <v>241</v>
      </c>
      <c r="F364" t="s">
        <v>242</v>
      </c>
      <c r="G364" t="s">
        <v>243</v>
      </c>
      <c r="H364">
        <v>99999</v>
      </c>
      <c r="I364" t="s">
        <v>188</v>
      </c>
      <c r="J364" t="s">
        <v>244</v>
      </c>
      <c r="K364" t="s">
        <v>219</v>
      </c>
      <c r="L364" s="34">
        <v>41981</v>
      </c>
      <c r="M364" t="s">
        <v>191</v>
      </c>
      <c r="N364" t="s">
        <v>245</v>
      </c>
      <c r="O364" t="s">
        <v>241</v>
      </c>
      <c r="P364" t="s">
        <v>242</v>
      </c>
      <c r="Q364" t="s">
        <v>243</v>
      </c>
      <c r="R364">
        <v>99999</v>
      </c>
      <c r="S364" t="s">
        <v>188</v>
      </c>
      <c r="T364" t="s">
        <v>206</v>
      </c>
      <c r="U364" t="s">
        <v>230</v>
      </c>
      <c r="V364" t="s">
        <v>231</v>
      </c>
      <c r="W364">
        <v>12.75</v>
      </c>
      <c r="X364">
        <v>41</v>
      </c>
      <c r="Y364" s="36">
        <v>522.75</v>
      </c>
      <c r="Z364" s="35">
        <v>50.706750000000007</v>
      </c>
    </row>
    <row r="365" spans="1:26" x14ac:dyDescent="0.25">
      <c r="A365">
        <v>1425</v>
      </c>
      <c r="B365" s="34">
        <v>41981</v>
      </c>
      <c r="C365">
        <v>8</v>
      </c>
      <c r="D365" t="s">
        <v>214</v>
      </c>
      <c r="E365" t="s">
        <v>215</v>
      </c>
      <c r="F365" t="s">
        <v>216</v>
      </c>
      <c r="G365" t="s">
        <v>217</v>
      </c>
      <c r="H365">
        <v>99999</v>
      </c>
      <c r="I365" t="s">
        <v>188</v>
      </c>
      <c r="J365" t="s">
        <v>218</v>
      </c>
      <c r="K365" t="s">
        <v>219</v>
      </c>
      <c r="L365">
        <v>41983</v>
      </c>
      <c r="M365" t="s">
        <v>191</v>
      </c>
      <c r="N365" t="s">
        <v>221</v>
      </c>
      <c r="O365" t="s">
        <v>215</v>
      </c>
      <c r="P365" t="s">
        <v>216</v>
      </c>
      <c r="Q365" t="s">
        <v>217</v>
      </c>
      <c r="R365">
        <v>99999</v>
      </c>
      <c r="S365" t="s">
        <v>188</v>
      </c>
      <c r="T365" t="s">
        <v>193</v>
      </c>
      <c r="U365" t="s">
        <v>230</v>
      </c>
      <c r="V365" t="s">
        <v>231</v>
      </c>
      <c r="W365">
        <v>12.75</v>
      </c>
      <c r="X365">
        <v>19</v>
      </c>
      <c r="Y365" s="36">
        <v>242.25</v>
      </c>
      <c r="Z365" s="35">
        <v>23.982750000000003</v>
      </c>
    </row>
    <row r="366" spans="1:26" x14ac:dyDescent="0.25">
      <c r="A366">
        <v>1426</v>
      </c>
      <c r="B366" s="34">
        <v>41998</v>
      </c>
      <c r="C366">
        <v>25</v>
      </c>
      <c r="D366" t="s">
        <v>295</v>
      </c>
      <c r="E366" t="s">
        <v>296</v>
      </c>
      <c r="F366" t="s">
        <v>257</v>
      </c>
      <c r="G366" t="s">
        <v>258</v>
      </c>
      <c r="H366">
        <v>99999</v>
      </c>
      <c r="I366" t="s">
        <v>188</v>
      </c>
      <c r="J366" t="s">
        <v>259</v>
      </c>
      <c r="K366" t="s">
        <v>203</v>
      </c>
      <c r="L366">
        <v>42000</v>
      </c>
      <c r="M366" t="s">
        <v>204</v>
      </c>
      <c r="N366" t="s">
        <v>297</v>
      </c>
      <c r="O366" t="s">
        <v>296</v>
      </c>
      <c r="P366" t="s">
        <v>257</v>
      </c>
      <c r="Q366" t="s">
        <v>258</v>
      </c>
      <c r="R366">
        <v>99999</v>
      </c>
      <c r="S366" t="s">
        <v>188</v>
      </c>
      <c r="T366" t="s">
        <v>237</v>
      </c>
      <c r="U366" t="s">
        <v>269</v>
      </c>
      <c r="V366" t="s">
        <v>270</v>
      </c>
      <c r="W366">
        <v>22</v>
      </c>
      <c r="X366">
        <v>65</v>
      </c>
      <c r="Y366" s="36">
        <v>1430</v>
      </c>
      <c r="Z366" s="35">
        <v>138.71</v>
      </c>
    </row>
    <row r="367" spans="1:26" x14ac:dyDescent="0.25">
      <c r="A367">
        <v>1427</v>
      </c>
      <c r="B367" s="34">
        <v>41999</v>
      </c>
      <c r="C367">
        <v>26</v>
      </c>
      <c r="D367" t="s">
        <v>298</v>
      </c>
      <c r="E367" t="s">
        <v>299</v>
      </c>
      <c r="F367" t="s">
        <v>273</v>
      </c>
      <c r="G367" t="s">
        <v>274</v>
      </c>
      <c r="H367">
        <v>99999</v>
      </c>
      <c r="I367" t="s">
        <v>188</v>
      </c>
      <c r="J367" t="s">
        <v>252</v>
      </c>
      <c r="K367" t="s">
        <v>253</v>
      </c>
      <c r="L367">
        <v>42001</v>
      </c>
      <c r="M367" t="s">
        <v>220</v>
      </c>
      <c r="N367" t="s">
        <v>300</v>
      </c>
      <c r="O367" t="s">
        <v>299</v>
      </c>
      <c r="P367" t="s">
        <v>273</v>
      </c>
      <c r="Q367" t="s">
        <v>274</v>
      </c>
      <c r="R367">
        <v>99999</v>
      </c>
      <c r="S367" t="s">
        <v>188</v>
      </c>
      <c r="T367" t="s">
        <v>206</v>
      </c>
      <c r="U367" t="s">
        <v>267</v>
      </c>
      <c r="V367" t="s">
        <v>268</v>
      </c>
      <c r="W367">
        <v>25</v>
      </c>
      <c r="X367">
        <v>13</v>
      </c>
      <c r="Y367" s="36">
        <v>325</v>
      </c>
      <c r="Z367" s="35">
        <v>32.174999999999997</v>
      </c>
    </row>
    <row r="368" spans="1:26" x14ac:dyDescent="0.25">
      <c r="A368">
        <v>1428</v>
      </c>
      <c r="B368" s="34">
        <v>42002</v>
      </c>
      <c r="C368">
        <v>29</v>
      </c>
      <c r="D368" t="s">
        <v>224</v>
      </c>
      <c r="E368" t="s">
        <v>225</v>
      </c>
      <c r="F368" t="s">
        <v>226</v>
      </c>
      <c r="G368" t="s">
        <v>227</v>
      </c>
      <c r="H368">
        <v>99999</v>
      </c>
      <c r="I368" t="s">
        <v>188</v>
      </c>
      <c r="J368" t="s">
        <v>228</v>
      </c>
      <c r="K368" t="s">
        <v>190</v>
      </c>
      <c r="L368">
        <v>42004</v>
      </c>
      <c r="M368" t="s">
        <v>191</v>
      </c>
      <c r="N368" t="s">
        <v>229</v>
      </c>
      <c r="O368" t="s">
        <v>225</v>
      </c>
      <c r="P368" t="s">
        <v>226</v>
      </c>
      <c r="Q368" t="s">
        <v>227</v>
      </c>
      <c r="R368">
        <v>99999</v>
      </c>
      <c r="S368" t="s">
        <v>188</v>
      </c>
      <c r="T368" t="s">
        <v>193</v>
      </c>
      <c r="U368" t="s">
        <v>301</v>
      </c>
      <c r="V368" t="s">
        <v>302</v>
      </c>
      <c r="W368">
        <v>39</v>
      </c>
      <c r="X368">
        <v>54</v>
      </c>
      <c r="Y368" s="36">
        <v>2106</v>
      </c>
      <c r="Z368" s="35">
        <v>214.81200000000004</v>
      </c>
    </row>
    <row r="369" spans="1:26" x14ac:dyDescent="0.25">
      <c r="A369">
        <v>1429</v>
      </c>
      <c r="B369" s="34">
        <v>41979</v>
      </c>
      <c r="C369">
        <v>6</v>
      </c>
      <c r="D369" t="s">
        <v>240</v>
      </c>
      <c r="E369" t="s">
        <v>241</v>
      </c>
      <c r="F369" t="s">
        <v>242</v>
      </c>
      <c r="G369" t="s">
        <v>243</v>
      </c>
      <c r="H369">
        <v>99999</v>
      </c>
      <c r="I369" t="s">
        <v>188</v>
      </c>
      <c r="J369" t="s">
        <v>244</v>
      </c>
      <c r="K369" t="s">
        <v>219</v>
      </c>
      <c r="L369" s="34">
        <v>41981</v>
      </c>
      <c r="M369" t="s">
        <v>220</v>
      </c>
      <c r="N369" t="s">
        <v>245</v>
      </c>
      <c r="O369" t="s">
        <v>241</v>
      </c>
      <c r="P369" t="s">
        <v>242</v>
      </c>
      <c r="Q369" t="s">
        <v>243</v>
      </c>
      <c r="R369">
        <v>99999</v>
      </c>
      <c r="S369" t="s">
        <v>188</v>
      </c>
      <c r="T369" t="s">
        <v>193</v>
      </c>
      <c r="U369" t="s">
        <v>207</v>
      </c>
      <c r="V369" t="s">
        <v>197</v>
      </c>
      <c r="W369">
        <v>30</v>
      </c>
      <c r="X369">
        <v>33</v>
      </c>
      <c r="Y369" s="36">
        <v>990</v>
      </c>
      <c r="Z369" s="35">
        <v>95.039999999999992</v>
      </c>
    </row>
    <row r="370" spans="1:26" x14ac:dyDescent="0.25">
      <c r="A370">
        <v>1430</v>
      </c>
      <c r="B370" s="34">
        <v>41979</v>
      </c>
      <c r="C370">
        <v>6</v>
      </c>
      <c r="D370" t="s">
        <v>240</v>
      </c>
      <c r="E370" t="s">
        <v>241</v>
      </c>
      <c r="F370" t="s">
        <v>242</v>
      </c>
      <c r="G370" t="s">
        <v>243</v>
      </c>
      <c r="H370">
        <v>99999</v>
      </c>
      <c r="I370" t="s">
        <v>188</v>
      </c>
      <c r="J370" t="s">
        <v>244</v>
      </c>
      <c r="K370" t="s">
        <v>219</v>
      </c>
      <c r="L370" s="34">
        <v>41981</v>
      </c>
      <c r="M370" t="s">
        <v>220</v>
      </c>
      <c r="N370" t="s">
        <v>245</v>
      </c>
      <c r="O370" t="s">
        <v>241</v>
      </c>
      <c r="P370" t="s">
        <v>242</v>
      </c>
      <c r="Q370" t="s">
        <v>243</v>
      </c>
      <c r="R370">
        <v>99999</v>
      </c>
      <c r="S370" t="s">
        <v>188</v>
      </c>
      <c r="T370" t="s">
        <v>193</v>
      </c>
      <c r="U370" t="s">
        <v>208</v>
      </c>
      <c r="V370" t="s">
        <v>197</v>
      </c>
      <c r="W370">
        <v>53</v>
      </c>
      <c r="X370">
        <v>34</v>
      </c>
      <c r="Y370" s="36">
        <v>1802</v>
      </c>
      <c r="Z370" s="35">
        <v>185.60600000000002</v>
      </c>
    </row>
    <row r="371" spans="1:26" x14ac:dyDescent="0.25">
      <c r="A371">
        <v>1431</v>
      </c>
      <c r="B371" s="34">
        <v>41977</v>
      </c>
      <c r="C371">
        <v>4</v>
      </c>
      <c r="D371" t="s">
        <v>198</v>
      </c>
      <c r="E371" t="s">
        <v>199</v>
      </c>
      <c r="F371" t="s">
        <v>200</v>
      </c>
      <c r="G371" t="s">
        <v>201</v>
      </c>
      <c r="H371">
        <v>99999</v>
      </c>
      <c r="I371" t="s">
        <v>188</v>
      </c>
      <c r="J371" t="s">
        <v>202</v>
      </c>
      <c r="K371" t="s">
        <v>203</v>
      </c>
      <c r="L371" s="34"/>
      <c r="N371" t="s">
        <v>205</v>
      </c>
      <c r="O371" t="s">
        <v>199</v>
      </c>
      <c r="P371" t="s">
        <v>200</v>
      </c>
      <c r="Q371" t="s">
        <v>201</v>
      </c>
      <c r="R371">
        <v>99999</v>
      </c>
      <c r="S371" t="s">
        <v>188</v>
      </c>
      <c r="U371" t="s">
        <v>303</v>
      </c>
      <c r="V371" t="s">
        <v>290</v>
      </c>
      <c r="W371" s="35">
        <v>38</v>
      </c>
      <c r="X371">
        <v>59</v>
      </c>
      <c r="Y371" s="36">
        <v>2242</v>
      </c>
      <c r="Z371" s="35">
        <v>226.44200000000001</v>
      </c>
    </row>
    <row r="372" spans="1:26" x14ac:dyDescent="0.25">
      <c r="A372">
        <v>1432</v>
      </c>
      <c r="B372" s="34">
        <v>41976</v>
      </c>
      <c r="C372">
        <v>3</v>
      </c>
      <c r="D372" t="s">
        <v>232</v>
      </c>
      <c r="E372" t="s">
        <v>233</v>
      </c>
      <c r="F372" t="s">
        <v>234</v>
      </c>
      <c r="G372" t="s">
        <v>235</v>
      </c>
      <c r="H372">
        <v>99999</v>
      </c>
      <c r="I372" t="s">
        <v>188</v>
      </c>
      <c r="J372" t="s">
        <v>189</v>
      </c>
      <c r="K372" t="s">
        <v>190</v>
      </c>
      <c r="L372" s="34"/>
      <c r="N372" t="s">
        <v>236</v>
      </c>
      <c r="O372" t="s">
        <v>233</v>
      </c>
      <c r="P372" t="s">
        <v>234</v>
      </c>
      <c r="Q372" t="s">
        <v>235</v>
      </c>
      <c r="R372">
        <v>99999</v>
      </c>
      <c r="S372" t="s">
        <v>188</v>
      </c>
      <c r="U372" t="s">
        <v>261</v>
      </c>
      <c r="V372" t="s">
        <v>195</v>
      </c>
      <c r="W372" s="35">
        <v>2.99</v>
      </c>
      <c r="X372">
        <v>24</v>
      </c>
      <c r="Y372" s="36">
        <v>71.760000000000005</v>
      </c>
      <c r="Z372" s="35">
        <v>7.1042400000000008</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75B3F-1FFC-49C5-98E3-F0FCC573DFFD}">
  <sheetPr codeName="Sheet10"/>
  <dimension ref="A1:M14"/>
  <sheetViews>
    <sheetView zoomScale="175" zoomScaleNormal="175" workbookViewId="0">
      <selection activeCell="G19" sqref="G19"/>
    </sheetView>
  </sheetViews>
  <sheetFormatPr defaultColWidth="8.7109375" defaultRowHeight="12.75" x14ac:dyDescent="0.2"/>
  <cols>
    <col min="1" max="5" width="8.7109375" style="93" customWidth="1"/>
    <col min="6" max="16384" width="8.7109375" style="93"/>
  </cols>
  <sheetData>
    <row r="1" spans="1:13" ht="14.25" x14ac:dyDescent="0.2">
      <c r="A1" s="99" t="s">
        <v>687</v>
      </c>
      <c r="B1" s="99" t="s">
        <v>688</v>
      </c>
      <c r="C1" s="99" t="s">
        <v>689</v>
      </c>
      <c r="D1" s="99" t="s">
        <v>690</v>
      </c>
      <c r="E1" s="99" t="s">
        <v>691</v>
      </c>
      <c r="I1" s="150" t="s">
        <v>692</v>
      </c>
      <c r="J1" s="150"/>
      <c r="K1" s="150"/>
      <c r="L1" s="150"/>
      <c r="M1" s="150"/>
    </row>
    <row r="2" spans="1:13" ht="14.25" x14ac:dyDescent="0.2">
      <c r="A2" s="100" t="s">
        <v>693</v>
      </c>
      <c r="B2" s="100" t="s">
        <v>694</v>
      </c>
      <c r="C2" s="100" t="s">
        <v>695</v>
      </c>
      <c r="D2" s="100" t="s">
        <v>676</v>
      </c>
      <c r="E2" s="100" t="s">
        <v>129</v>
      </c>
      <c r="I2" s="100" t="s">
        <v>693</v>
      </c>
      <c r="J2" s="100" t="s">
        <v>694</v>
      </c>
      <c r="K2" s="100" t="s">
        <v>695</v>
      </c>
      <c r="L2" s="100" t="s">
        <v>676</v>
      </c>
      <c r="M2" s="100" t="s">
        <v>129</v>
      </c>
    </row>
    <row r="3" spans="1:13" ht="14.25" x14ac:dyDescent="0.2">
      <c r="A3" s="101" t="s">
        <v>696</v>
      </c>
      <c r="B3" s="101" t="s">
        <v>697</v>
      </c>
      <c r="C3" s="102">
        <v>5</v>
      </c>
      <c r="D3" s="102">
        <v>33000</v>
      </c>
      <c r="E3" s="103">
        <f t="array" ref="E3:E12">C3:C12*D3:D12</f>
        <v>165000</v>
      </c>
      <c r="I3" s="101" t="s">
        <v>696</v>
      </c>
      <c r="J3" s="101" t="s">
        <v>697</v>
      </c>
      <c r="K3" s="102">
        <v>5</v>
      </c>
      <c r="L3" s="102">
        <v>33000</v>
      </c>
      <c r="M3" s="103">
        <f t="array" ref="M3:M12">K3:K12*L3:L12</f>
        <v>165000</v>
      </c>
    </row>
    <row r="4" spans="1:13" ht="14.25" x14ac:dyDescent="0.2">
      <c r="A4" s="104"/>
      <c r="B4" s="105" t="s">
        <v>698</v>
      </c>
      <c r="C4" s="106">
        <v>4</v>
      </c>
      <c r="D4" s="106">
        <v>37000</v>
      </c>
      <c r="E4" s="104">
        <v>148000</v>
      </c>
      <c r="I4" s="104"/>
      <c r="J4" s="105" t="s">
        <v>698</v>
      </c>
      <c r="K4" s="106">
        <v>4</v>
      </c>
      <c r="L4" s="106">
        <v>37000</v>
      </c>
      <c r="M4" s="104">
        <v>148000</v>
      </c>
    </row>
    <row r="5" spans="1:13" ht="14.25" x14ac:dyDescent="0.2">
      <c r="A5" s="101" t="s">
        <v>699</v>
      </c>
      <c r="B5" s="101" t="s">
        <v>697</v>
      </c>
      <c r="C5" s="102">
        <v>6</v>
      </c>
      <c r="D5" s="102">
        <v>24000</v>
      </c>
      <c r="E5" s="103">
        <v>144000</v>
      </c>
      <c r="I5" s="101" t="s">
        <v>699</v>
      </c>
      <c r="J5" s="101" t="s">
        <v>697</v>
      </c>
      <c r="K5" s="102">
        <v>6</v>
      </c>
      <c r="L5" s="102">
        <v>24000</v>
      </c>
      <c r="M5" s="103">
        <v>144000</v>
      </c>
    </row>
    <row r="6" spans="1:13" ht="14.25" x14ac:dyDescent="0.2">
      <c r="A6" s="104"/>
      <c r="B6" s="105" t="s">
        <v>698</v>
      </c>
      <c r="C6" s="106">
        <v>8</v>
      </c>
      <c r="D6" s="106">
        <v>21000</v>
      </c>
      <c r="E6" s="104">
        <v>168000</v>
      </c>
      <c r="I6" s="104"/>
      <c r="J6" s="105" t="s">
        <v>698</v>
      </c>
      <c r="K6" s="106">
        <v>8</v>
      </c>
      <c r="L6" s="106">
        <v>21000</v>
      </c>
      <c r="M6" s="104">
        <v>168000</v>
      </c>
    </row>
    <row r="7" spans="1:13" ht="14.25" x14ac:dyDescent="0.2">
      <c r="A7" s="101" t="s">
        <v>700</v>
      </c>
      <c r="B7" s="101" t="s">
        <v>697</v>
      </c>
      <c r="C7" s="102">
        <v>3</v>
      </c>
      <c r="D7" s="102">
        <v>29000</v>
      </c>
      <c r="E7" s="103">
        <v>87000</v>
      </c>
      <c r="I7" s="101" t="s">
        <v>700</v>
      </c>
      <c r="J7" s="101" t="s">
        <v>697</v>
      </c>
      <c r="K7" s="102">
        <v>3</v>
      </c>
      <c r="L7" s="102">
        <v>29000</v>
      </c>
      <c r="M7" s="103">
        <v>87000</v>
      </c>
    </row>
    <row r="8" spans="1:13" ht="14.25" x14ac:dyDescent="0.2">
      <c r="A8" s="104"/>
      <c r="B8" s="105" t="s">
        <v>698</v>
      </c>
      <c r="C8" s="106">
        <v>1</v>
      </c>
      <c r="D8" s="106">
        <v>31000</v>
      </c>
      <c r="E8" s="104">
        <v>31000</v>
      </c>
      <c r="I8" s="104"/>
      <c r="J8" s="105" t="s">
        <v>698</v>
      </c>
      <c r="K8" s="106">
        <v>1</v>
      </c>
      <c r="L8" s="106">
        <v>31000</v>
      </c>
      <c r="M8" s="104">
        <v>31000</v>
      </c>
    </row>
    <row r="9" spans="1:13" ht="14.25" x14ac:dyDescent="0.2">
      <c r="A9" s="101" t="s">
        <v>701</v>
      </c>
      <c r="B9" s="101" t="s">
        <v>697</v>
      </c>
      <c r="C9" s="102">
        <v>9</v>
      </c>
      <c r="D9" s="102">
        <v>24000</v>
      </c>
      <c r="E9" s="103">
        <v>216000</v>
      </c>
      <c r="I9" s="101" t="s">
        <v>701</v>
      </c>
      <c r="J9" s="101" t="s">
        <v>697</v>
      </c>
      <c r="K9" s="102">
        <v>9</v>
      </c>
      <c r="L9" s="102">
        <v>24000</v>
      </c>
      <c r="M9" s="103">
        <v>216000</v>
      </c>
    </row>
    <row r="10" spans="1:13" ht="14.25" x14ac:dyDescent="0.2">
      <c r="A10" s="104"/>
      <c r="B10" s="105" t="s">
        <v>698</v>
      </c>
      <c r="C10" s="106">
        <v>5</v>
      </c>
      <c r="D10" s="106">
        <v>37000</v>
      </c>
      <c r="E10" s="104">
        <v>185000</v>
      </c>
      <c r="I10" s="104"/>
      <c r="J10" s="105" t="s">
        <v>698</v>
      </c>
      <c r="K10" s="106">
        <v>5</v>
      </c>
      <c r="L10" s="106">
        <v>37000</v>
      </c>
      <c r="M10" s="104">
        <v>185000</v>
      </c>
    </row>
    <row r="11" spans="1:13" ht="14.25" x14ac:dyDescent="0.2">
      <c r="A11" s="101" t="s">
        <v>702</v>
      </c>
      <c r="B11" s="101" t="s">
        <v>697</v>
      </c>
      <c r="C11" s="102">
        <v>6</v>
      </c>
      <c r="D11" s="102">
        <v>33000</v>
      </c>
      <c r="E11" s="103">
        <v>198000</v>
      </c>
      <c r="I11" s="101" t="s">
        <v>702</v>
      </c>
      <c r="J11" s="101" t="s">
        <v>697</v>
      </c>
      <c r="K11" s="102">
        <v>6</v>
      </c>
      <c r="L11" s="102">
        <v>33000</v>
      </c>
      <c r="M11" s="103">
        <v>198000</v>
      </c>
    </row>
    <row r="12" spans="1:13" ht="14.25" x14ac:dyDescent="0.2">
      <c r="A12" s="104"/>
      <c r="B12" s="105" t="s">
        <v>698</v>
      </c>
      <c r="C12" s="106">
        <v>8</v>
      </c>
      <c r="D12" s="106">
        <v>31000</v>
      </c>
      <c r="E12" s="104">
        <v>248000</v>
      </c>
      <c r="I12" s="104"/>
      <c r="J12" s="105" t="s">
        <v>698</v>
      </c>
      <c r="K12" s="106">
        <v>8</v>
      </c>
      <c r="L12" s="106">
        <v>31000</v>
      </c>
      <c r="M12" s="104">
        <v>248000</v>
      </c>
    </row>
    <row r="13" spans="1:13" ht="42.75" x14ac:dyDescent="0.2">
      <c r="A13" s="107" t="s">
        <v>703</v>
      </c>
      <c r="B13" s="103"/>
      <c r="C13" s="103"/>
      <c r="D13" s="107" t="s">
        <v>704</v>
      </c>
      <c r="E13" s="103"/>
      <c r="I13" s="107" t="s">
        <v>703</v>
      </c>
      <c r="J13" s="103"/>
      <c r="K13" s="103"/>
      <c r="L13" s="107" t="s">
        <v>704</v>
      </c>
      <c r="M13" s="103">
        <f t="array" ref="M13">SUM(K3:K12*L3:L12)</f>
        <v>1590000</v>
      </c>
    </row>
    <row r="14" spans="1:13" ht="15" thickBot="1" x14ac:dyDescent="0.25">
      <c r="A14" s="108"/>
      <c r="B14" s="109"/>
      <c r="C14" s="109"/>
      <c r="D14" s="108">
        <f t="array" ref="D14">SUM(C3:C12*D3:D12)</f>
        <v>1590000</v>
      </c>
      <c r="E14" s="110"/>
      <c r="I14" s="108"/>
      <c r="J14" s="109"/>
      <c r="K14" s="109"/>
      <c r="L14" s="108"/>
      <c r="M14" s="110"/>
    </row>
  </sheetData>
  <mergeCells count="1">
    <mergeCell ref="I1:M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716C6-4F8B-45CA-8689-2235E5E1AF57}">
  <sheetPr codeName="Sheet11"/>
  <dimension ref="A1:K13"/>
  <sheetViews>
    <sheetView zoomScale="205" zoomScaleNormal="205" workbookViewId="0">
      <selection activeCell="H13" sqref="H13"/>
    </sheetView>
  </sheetViews>
  <sheetFormatPr defaultColWidth="8.7109375" defaultRowHeight="12.75" x14ac:dyDescent="0.2"/>
  <cols>
    <col min="1" max="16384" width="8.7109375" style="93"/>
  </cols>
  <sheetData>
    <row r="1" spans="1:11" ht="23.25" x14ac:dyDescent="0.35">
      <c r="A1" s="92" t="s">
        <v>672</v>
      </c>
    </row>
    <row r="3" spans="1:11" ht="15.75" thickBot="1" x14ac:dyDescent="0.3">
      <c r="A3" s="94" t="s">
        <v>673</v>
      </c>
      <c r="B3" s="94" t="s">
        <v>674</v>
      </c>
      <c r="C3" s="94" t="s">
        <v>675</v>
      </c>
      <c r="D3" s="94" t="s">
        <v>676</v>
      </c>
    </row>
    <row r="4" spans="1:11" ht="15.75" thickTop="1" x14ac:dyDescent="0.25">
      <c r="A4" s="93" t="s">
        <v>677</v>
      </c>
      <c r="B4" s="93" t="s">
        <v>678</v>
      </c>
      <c r="C4" s="93" t="s">
        <v>679</v>
      </c>
      <c r="D4" s="95">
        <v>15</v>
      </c>
      <c r="G4" s="96" t="s">
        <v>673</v>
      </c>
      <c r="H4" s="97" t="s">
        <v>677</v>
      </c>
      <c r="J4" s="96" t="s">
        <v>673</v>
      </c>
      <c r="K4" s="97" t="s">
        <v>677</v>
      </c>
    </row>
    <row r="5" spans="1:11" ht="15" x14ac:dyDescent="0.25">
      <c r="A5" s="93" t="s">
        <v>677</v>
      </c>
      <c r="B5" s="93" t="s">
        <v>680</v>
      </c>
      <c r="C5" s="93" t="s">
        <v>681</v>
      </c>
      <c r="D5" s="95">
        <v>16</v>
      </c>
      <c r="G5" s="96" t="s">
        <v>674</v>
      </c>
      <c r="H5" s="97" t="s">
        <v>682</v>
      </c>
      <c r="J5" s="96" t="s">
        <v>674</v>
      </c>
      <c r="K5" s="97" t="s">
        <v>680</v>
      </c>
    </row>
    <row r="6" spans="1:11" ht="15" x14ac:dyDescent="0.25">
      <c r="A6" s="93" t="s">
        <v>677</v>
      </c>
      <c r="B6" s="93" t="s">
        <v>682</v>
      </c>
      <c r="C6" s="93" t="s">
        <v>679</v>
      </c>
      <c r="D6" s="95">
        <v>17</v>
      </c>
      <c r="G6" s="96" t="s">
        <v>675</v>
      </c>
      <c r="H6" s="97" t="s">
        <v>679</v>
      </c>
      <c r="J6" s="96" t="s">
        <v>675</v>
      </c>
      <c r="K6" s="97" t="s">
        <v>681</v>
      </c>
    </row>
    <row r="7" spans="1:11" ht="15" x14ac:dyDescent="0.25">
      <c r="A7" s="93" t="s">
        <v>683</v>
      </c>
      <c r="B7" s="93" t="s">
        <v>678</v>
      </c>
      <c r="C7" s="93" t="s">
        <v>684</v>
      </c>
      <c r="D7" s="95">
        <v>28</v>
      </c>
      <c r="G7" s="96" t="s">
        <v>676</v>
      </c>
      <c r="H7" s="98">
        <f t="array" ref="H7">INDEX(D4:D10,MATCH(1,(H4=A4:A10)*(H5=B4:B10)*(H6=C4:C10),0))</f>
        <v>17</v>
      </c>
      <c r="J7" s="96" t="s">
        <v>676</v>
      </c>
      <c r="K7" s="98">
        <f t="array" ref="K7">INDEX(D4:D10,MATCH(1,(K6=C4:C10)*(K5=B4:B10)*(K4=A4:A10),0))</f>
        <v>16</v>
      </c>
    </row>
    <row r="8" spans="1:11" x14ac:dyDescent="0.2">
      <c r="A8" s="93" t="s">
        <v>683</v>
      </c>
      <c r="B8" s="93" t="s">
        <v>680</v>
      </c>
      <c r="C8" s="93" t="s">
        <v>681</v>
      </c>
      <c r="D8" s="95">
        <v>29</v>
      </c>
    </row>
    <row r="9" spans="1:11" x14ac:dyDescent="0.2">
      <c r="A9" s="93" t="s">
        <v>683</v>
      </c>
      <c r="B9" s="93" t="s">
        <v>682</v>
      </c>
      <c r="C9" s="93" t="s">
        <v>685</v>
      </c>
      <c r="D9" s="95">
        <v>30</v>
      </c>
    </row>
    <row r="10" spans="1:11" ht="15" x14ac:dyDescent="0.25">
      <c r="A10" s="93" t="s">
        <v>677</v>
      </c>
      <c r="B10" s="93" t="s">
        <v>686</v>
      </c>
      <c r="C10" s="93" t="s">
        <v>679</v>
      </c>
      <c r="D10" s="95">
        <v>18</v>
      </c>
      <c r="G10" s="96" t="s">
        <v>673</v>
      </c>
      <c r="H10" s="97" t="s">
        <v>683</v>
      </c>
      <c r="J10" s="96" t="s">
        <v>673</v>
      </c>
      <c r="K10" s="97" t="s">
        <v>683</v>
      </c>
    </row>
    <row r="11" spans="1:11" ht="15" x14ac:dyDescent="0.25">
      <c r="G11" s="96" t="s">
        <v>674</v>
      </c>
      <c r="H11" s="97" t="s">
        <v>682</v>
      </c>
      <c r="J11" s="96" t="s">
        <v>674</v>
      </c>
      <c r="K11" s="97" t="s">
        <v>680</v>
      </c>
    </row>
    <row r="12" spans="1:11" ht="15" x14ac:dyDescent="0.25">
      <c r="G12" s="96" t="s">
        <v>675</v>
      </c>
      <c r="H12" s="97" t="s">
        <v>685</v>
      </c>
      <c r="J12" s="96" t="s">
        <v>675</v>
      </c>
      <c r="K12" s="97" t="s">
        <v>681</v>
      </c>
    </row>
    <row r="13" spans="1:11" ht="15" x14ac:dyDescent="0.25">
      <c r="G13" s="96" t="s">
        <v>676</v>
      </c>
      <c r="H13" s="98" cm="1">
        <f t="array" ref="H13">INDEX(D4:D10,MATCH(1,(H10=A4:A10)*(H11=B4:B10)*(H12=C4:C10),0))</f>
        <v>30</v>
      </c>
      <c r="J13" s="96" t="s">
        <v>676</v>
      </c>
      <c r="K13" s="9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8461C-ACEC-4887-9704-980EFB5802A3}">
  <sheetPr codeName="Sheet12"/>
  <dimension ref="A1:H12"/>
  <sheetViews>
    <sheetView zoomScale="265" zoomScaleNormal="265" workbookViewId="0">
      <selection activeCell="C2" sqref="C2:C5"/>
    </sheetView>
  </sheetViews>
  <sheetFormatPr defaultColWidth="8.7109375" defaultRowHeight="12.75" x14ac:dyDescent="0.2"/>
  <cols>
    <col min="1" max="16384" width="8.7109375" style="93"/>
  </cols>
  <sheetData>
    <row r="1" spans="1:8" ht="15" x14ac:dyDescent="0.25">
      <c r="A1" s="111" t="s">
        <v>705</v>
      </c>
      <c r="B1" s="111" t="s">
        <v>706</v>
      </c>
      <c r="C1" s="111" t="s">
        <v>707</v>
      </c>
      <c r="H1" s="112"/>
    </row>
    <row r="2" spans="1:8" x14ac:dyDescent="0.2">
      <c r="A2" s="93">
        <v>7</v>
      </c>
      <c r="B2" s="93">
        <v>71</v>
      </c>
      <c r="C2" s="93">
        <f>ROUND(B2/A2,0)</f>
        <v>10</v>
      </c>
    </row>
    <row r="3" spans="1:8" x14ac:dyDescent="0.2">
      <c r="A3" s="93">
        <v>0</v>
      </c>
      <c r="B3" s="93">
        <v>0</v>
      </c>
      <c r="C3" s="93" t="e">
        <f>ROUND(B3/A3,0)</f>
        <v>#DIV/0!</v>
      </c>
      <c r="D3" s="93" t="s">
        <v>708</v>
      </c>
    </row>
    <row r="4" spans="1:8" x14ac:dyDescent="0.2">
      <c r="A4" s="93">
        <v>4</v>
      </c>
      <c r="B4" s="93">
        <v>58</v>
      </c>
      <c r="C4" s="93">
        <f>ROUND(B4/A4,0)</f>
        <v>15</v>
      </c>
    </row>
    <row r="5" spans="1:8" x14ac:dyDescent="0.2">
      <c r="A5" s="93">
        <v>9</v>
      </c>
      <c r="B5" s="93">
        <v>29</v>
      </c>
      <c r="C5" s="93">
        <f>ROUND(B5/A5,0)</f>
        <v>3</v>
      </c>
    </row>
    <row r="12" spans="1:8" x14ac:dyDescent="0.2">
      <c r="B12" s="113"/>
    </row>
  </sheetData>
  <conditionalFormatting sqref="C2:C5">
    <cfRule type="expression" dxfId="12" priority="1">
      <formula>ISERROR(C2)</formula>
    </cfRule>
  </conditionalFormatting>
  <pageMargins left="0.75" right="0.75" top="1" bottom="1" header="0.5" footer="0.5"/>
  <pageSetup orientation="portrait" horizontalDpi="90" verticalDpi="9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5199-3166-43E4-BEEF-59ACCC585D37}">
  <sheetPr codeName="Sheet13"/>
  <dimension ref="A1:H14"/>
  <sheetViews>
    <sheetView zoomScale="250" zoomScaleNormal="250" workbookViewId="0">
      <selection activeCell="A5" sqref="A5"/>
    </sheetView>
  </sheetViews>
  <sheetFormatPr defaultColWidth="8.7109375" defaultRowHeight="12.75" x14ac:dyDescent="0.2"/>
  <cols>
    <col min="1" max="1" width="11.7109375" style="93" customWidth="1"/>
    <col min="2" max="2" width="7.85546875" style="93" customWidth="1"/>
    <col min="3" max="16384" width="8.7109375" style="93"/>
  </cols>
  <sheetData>
    <row r="1" spans="1:8" ht="15" x14ac:dyDescent="0.25">
      <c r="A1" s="111" t="s">
        <v>168</v>
      </c>
      <c r="B1" s="111" t="s">
        <v>128</v>
      </c>
      <c r="H1" s="112"/>
    </row>
    <row r="2" spans="1:8" x14ac:dyDescent="0.2">
      <c r="A2" s="136" t="s">
        <v>709</v>
      </c>
      <c r="B2" s="93" t="s">
        <v>710</v>
      </c>
    </row>
    <row r="3" spans="1:8" x14ac:dyDescent="0.2">
      <c r="A3" s="136" t="s">
        <v>709</v>
      </c>
      <c r="B3" s="93" t="s">
        <v>711</v>
      </c>
    </row>
    <row r="4" spans="1:8" x14ac:dyDescent="0.2">
      <c r="A4" s="136" t="s">
        <v>712</v>
      </c>
      <c r="B4" s="93" t="s">
        <v>713</v>
      </c>
    </row>
    <row r="5" spans="1:8" x14ac:dyDescent="0.2">
      <c r="A5" s="136" t="s">
        <v>712</v>
      </c>
      <c r="B5" s="93" t="s">
        <v>714</v>
      </c>
    </row>
    <row r="14" spans="1:8" x14ac:dyDescent="0.2">
      <c r="B14" s="113"/>
    </row>
  </sheetData>
  <conditionalFormatting sqref="A2:B5">
    <cfRule type="expression" dxfId="11" priority="1">
      <formula>A2=A1</formula>
    </cfRule>
  </conditionalFormatting>
  <pageMargins left="0.75" right="0.75" top="1" bottom="1" header="0.5" footer="0.5"/>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522B7-23A9-4E73-8DF8-060BFCED0A74}">
  <sheetPr codeName="Sheet14"/>
  <dimension ref="A1:K19"/>
  <sheetViews>
    <sheetView zoomScale="190" zoomScaleNormal="190" workbookViewId="0">
      <selection activeCell="A2" sqref="A2:D4"/>
    </sheetView>
  </sheetViews>
  <sheetFormatPr defaultColWidth="8.7109375" defaultRowHeight="12.75" x14ac:dyDescent="0.2"/>
  <cols>
    <col min="1" max="1" width="11" style="93" customWidth="1"/>
    <col min="2" max="2" width="5.85546875" style="93" customWidth="1"/>
    <col min="3" max="3" width="6.140625" style="93" customWidth="1"/>
    <col min="4" max="4" width="5.5703125" style="93" bestFit="1" customWidth="1"/>
    <col min="5" max="16384" width="8.7109375" style="93"/>
  </cols>
  <sheetData>
    <row r="1" spans="1:11" ht="15" x14ac:dyDescent="0.25">
      <c r="A1" s="114" t="s">
        <v>715</v>
      </c>
      <c r="B1" s="114" t="s">
        <v>706</v>
      </c>
      <c r="C1" s="114" t="s">
        <v>716</v>
      </c>
      <c r="D1" s="114" t="s">
        <v>717</v>
      </c>
      <c r="K1" s="112"/>
    </row>
    <row r="2" spans="1:11" x14ac:dyDescent="0.2">
      <c r="A2" s="115">
        <f ca="1">TODAY()+2</f>
        <v>44107</v>
      </c>
      <c r="B2" s="93">
        <v>76</v>
      </c>
      <c r="C2" s="93">
        <v>29</v>
      </c>
      <c r="D2" s="93">
        <f>B2*C2</f>
        <v>2204</v>
      </c>
      <c r="F2" s="113"/>
    </row>
    <row r="3" spans="1:11" x14ac:dyDescent="0.2">
      <c r="A3" s="115">
        <f ca="1">A2+1</f>
        <v>44108</v>
      </c>
      <c r="B3" s="93">
        <v>70</v>
      </c>
      <c r="C3" s="93">
        <v>30</v>
      </c>
      <c r="D3" s="93">
        <f>B3*C3</f>
        <v>2100</v>
      </c>
    </row>
    <row r="4" spans="1:11" x14ac:dyDescent="0.2">
      <c r="A4" s="115">
        <f ca="1">A3+1</f>
        <v>44109</v>
      </c>
      <c r="B4" s="93">
        <v>41</v>
      </c>
      <c r="C4" s="93">
        <v>77</v>
      </c>
      <c r="D4" s="93">
        <f>B4*C4</f>
        <v>3157</v>
      </c>
    </row>
    <row r="19" spans="11:11" ht="31.5" x14ac:dyDescent="0.2">
      <c r="K19" s="116"/>
    </row>
  </sheetData>
  <conditionalFormatting sqref="A2:D4">
    <cfRule type="expression" dxfId="10" priority="1">
      <formula>$B2&gt;75</formula>
    </cfRule>
  </conditionalFormatting>
  <pageMargins left="0.75" right="0.75" top="0.75" bottom="0.75" header="0.5" footer="0.5"/>
  <pageSetup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C46CE-7A0F-45C9-87EE-237317FE069D}">
  <sheetPr codeName="Sheet15"/>
  <dimension ref="A1:L168"/>
  <sheetViews>
    <sheetView topLeftCell="A4" zoomScale="205" zoomScaleNormal="205" workbookViewId="0">
      <selection activeCell="A20" sqref="A20:XFD20"/>
    </sheetView>
  </sheetViews>
  <sheetFormatPr defaultColWidth="8.85546875" defaultRowHeight="12.75" x14ac:dyDescent="0.2"/>
  <cols>
    <col min="1" max="1" width="11.5703125" style="119" customWidth="1"/>
    <col min="2" max="2" width="8.42578125" style="119" customWidth="1"/>
    <col min="3" max="3" width="13.28515625" style="119" customWidth="1"/>
    <col min="4" max="4" width="13.5703125" style="119" customWidth="1"/>
    <col min="5" max="5" width="8.140625" style="119" customWidth="1"/>
    <col min="6" max="7" width="8.42578125" style="119" customWidth="1"/>
    <col min="8" max="9" width="8.85546875" style="119"/>
    <col min="10" max="11" width="51.7109375" style="119" bestFit="1" customWidth="1"/>
    <col min="12" max="13" width="8.85546875" style="119"/>
    <col min="14" max="14" width="9" style="119" customWidth="1"/>
    <col min="15" max="16384" width="8.85546875" style="119"/>
  </cols>
  <sheetData>
    <row r="1" spans="1:12" ht="23.25" x14ac:dyDescent="0.35">
      <c r="A1" s="117" t="s">
        <v>718</v>
      </c>
      <c r="B1" s="118"/>
      <c r="C1" s="118"/>
      <c r="D1" s="118"/>
      <c r="E1" s="118"/>
      <c r="F1" s="118"/>
      <c r="G1" s="118"/>
    </row>
    <row r="2" spans="1:12" ht="23.25" x14ac:dyDescent="0.35">
      <c r="A2" s="117" t="s">
        <v>661</v>
      </c>
      <c r="B2" s="118"/>
      <c r="C2" s="118"/>
      <c r="D2" s="118"/>
      <c r="E2" s="118"/>
      <c r="F2" s="118"/>
      <c r="G2" s="118"/>
    </row>
    <row r="3" spans="1:12" ht="15.75" customHeight="1" x14ac:dyDescent="0.25">
      <c r="A3" s="118"/>
      <c r="B3" s="118"/>
      <c r="C3" s="118"/>
      <c r="D3" s="118"/>
      <c r="E3" s="118"/>
      <c r="F3" s="118"/>
      <c r="G3" s="118"/>
    </row>
    <row r="4" spans="1:12" s="122" customFormat="1" ht="18" thickBot="1" x14ac:dyDescent="0.35">
      <c r="A4" s="120" t="s">
        <v>719</v>
      </c>
      <c r="B4" s="120" t="s">
        <v>720</v>
      </c>
      <c r="C4" s="120" t="s">
        <v>694</v>
      </c>
      <c r="D4" s="120" t="s">
        <v>167</v>
      </c>
      <c r="E4" s="120" t="s">
        <v>168</v>
      </c>
      <c r="F4" s="121" t="s">
        <v>129</v>
      </c>
      <c r="G4" s="121" t="s">
        <v>706</v>
      </c>
      <c r="L4" s="123"/>
    </row>
    <row r="5" spans="1:12" ht="16.5" thickTop="1" x14ac:dyDescent="0.25">
      <c r="A5" s="124" t="s">
        <v>721</v>
      </c>
      <c r="B5" s="118">
        <v>2013</v>
      </c>
      <c r="C5" s="118" t="s">
        <v>722</v>
      </c>
      <c r="D5" s="118" t="s">
        <v>723</v>
      </c>
      <c r="E5" s="118" t="s">
        <v>219</v>
      </c>
      <c r="F5" s="125">
        <f t="shared" ref="F5:F68" si="0">G5*1.5</f>
        <v>8179.5</v>
      </c>
      <c r="G5" s="126">
        <v>5453</v>
      </c>
      <c r="L5" s="127"/>
    </row>
    <row r="6" spans="1:12" ht="15.75" x14ac:dyDescent="0.25">
      <c r="A6" s="124" t="s">
        <v>721</v>
      </c>
      <c r="B6" s="118">
        <v>2013</v>
      </c>
      <c r="C6" s="118" t="s">
        <v>724</v>
      </c>
      <c r="D6" s="118" t="s">
        <v>725</v>
      </c>
      <c r="E6" s="118" t="s">
        <v>726</v>
      </c>
      <c r="F6" s="125">
        <f t="shared" si="0"/>
        <v>3897</v>
      </c>
      <c r="G6" s="126">
        <v>2598</v>
      </c>
      <c r="I6" s="127"/>
    </row>
    <row r="7" spans="1:12" ht="15" x14ac:dyDescent="0.25">
      <c r="A7" s="124" t="s">
        <v>721</v>
      </c>
      <c r="B7" s="118">
        <v>2013</v>
      </c>
      <c r="C7" s="118" t="s">
        <v>727</v>
      </c>
      <c r="D7" s="118" t="s">
        <v>728</v>
      </c>
      <c r="E7" s="118" t="s">
        <v>726</v>
      </c>
      <c r="F7" s="125">
        <f t="shared" si="0"/>
        <v>12370.5</v>
      </c>
      <c r="G7" s="126">
        <v>8247</v>
      </c>
      <c r="J7" s="128" t="s">
        <v>768</v>
      </c>
    </row>
    <row r="8" spans="1:12" ht="15" x14ac:dyDescent="0.25">
      <c r="A8" s="124" t="s">
        <v>721</v>
      </c>
      <c r="B8" s="118">
        <v>2013</v>
      </c>
      <c r="C8" s="118" t="s">
        <v>722</v>
      </c>
      <c r="D8" s="118" t="s">
        <v>723</v>
      </c>
      <c r="E8" s="118" t="s">
        <v>726</v>
      </c>
      <c r="F8" s="125">
        <f t="shared" si="0"/>
        <v>10992</v>
      </c>
      <c r="G8" s="126">
        <v>7328</v>
      </c>
      <c r="J8" s="128" t="s">
        <v>769</v>
      </c>
    </row>
    <row r="9" spans="1:12" ht="15" x14ac:dyDescent="0.25">
      <c r="A9" s="124" t="s">
        <v>721</v>
      </c>
      <c r="B9" s="118">
        <v>2013</v>
      </c>
      <c r="C9" s="118" t="s">
        <v>729</v>
      </c>
      <c r="D9" s="118" t="s">
        <v>725</v>
      </c>
      <c r="E9" s="118" t="s">
        <v>726</v>
      </c>
      <c r="F9" s="125">
        <f t="shared" si="0"/>
        <v>3084</v>
      </c>
      <c r="G9" s="126">
        <v>2056</v>
      </c>
      <c r="J9" s="128" t="s">
        <v>730</v>
      </c>
    </row>
    <row r="10" spans="1:12" ht="15" x14ac:dyDescent="0.25">
      <c r="A10" s="124" t="s">
        <v>731</v>
      </c>
      <c r="B10" s="118">
        <v>2013</v>
      </c>
      <c r="C10" s="118" t="s">
        <v>722</v>
      </c>
      <c r="D10" s="118" t="s">
        <v>728</v>
      </c>
      <c r="E10" s="118" t="s">
        <v>726</v>
      </c>
      <c r="F10" s="125">
        <f t="shared" si="0"/>
        <v>13231.5</v>
      </c>
      <c r="G10" s="126">
        <v>8821</v>
      </c>
      <c r="J10" s="128" t="s">
        <v>732</v>
      </c>
    </row>
    <row r="11" spans="1:12" ht="15" x14ac:dyDescent="0.25">
      <c r="A11" s="124" t="s">
        <v>731</v>
      </c>
      <c r="B11" s="118">
        <v>2013</v>
      </c>
      <c r="C11" s="118" t="s">
        <v>724</v>
      </c>
      <c r="D11" s="118" t="s">
        <v>723</v>
      </c>
      <c r="E11" s="118" t="s">
        <v>190</v>
      </c>
      <c r="F11" s="125">
        <f t="shared" si="0"/>
        <v>8832</v>
      </c>
      <c r="G11" s="126">
        <v>5888</v>
      </c>
    </row>
    <row r="12" spans="1:12" ht="15" x14ac:dyDescent="0.25">
      <c r="A12" s="124" t="s">
        <v>731</v>
      </c>
      <c r="B12" s="118">
        <v>2013</v>
      </c>
      <c r="C12" s="118" t="s">
        <v>727</v>
      </c>
      <c r="D12" s="118" t="s">
        <v>725</v>
      </c>
      <c r="E12" s="118" t="s">
        <v>219</v>
      </c>
      <c r="F12" s="125">
        <f t="shared" si="0"/>
        <v>3547.5</v>
      </c>
      <c r="G12" s="126">
        <v>2365</v>
      </c>
    </row>
    <row r="13" spans="1:12" ht="15" x14ac:dyDescent="0.25">
      <c r="A13" s="124" t="s">
        <v>731</v>
      </c>
      <c r="B13" s="118">
        <v>2013</v>
      </c>
      <c r="C13" s="118" t="s">
        <v>722</v>
      </c>
      <c r="D13" s="118" t="s">
        <v>723</v>
      </c>
      <c r="E13" s="118" t="s">
        <v>190</v>
      </c>
      <c r="F13" s="125">
        <f t="shared" si="0"/>
        <v>13413</v>
      </c>
      <c r="G13" s="126">
        <v>8942</v>
      </c>
    </row>
    <row r="14" spans="1:12" ht="15" x14ac:dyDescent="0.25">
      <c r="A14" s="124" t="s">
        <v>731</v>
      </c>
      <c r="B14" s="118">
        <v>2013</v>
      </c>
      <c r="C14" s="118" t="s">
        <v>729</v>
      </c>
      <c r="D14" s="118" t="s">
        <v>723</v>
      </c>
      <c r="E14" s="118" t="s">
        <v>190</v>
      </c>
      <c r="F14" s="125">
        <f t="shared" si="0"/>
        <v>4026</v>
      </c>
      <c r="G14" s="126">
        <v>2684</v>
      </c>
    </row>
    <row r="15" spans="1:12" ht="15" x14ac:dyDescent="0.25">
      <c r="A15" s="124" t="s">
        <v>731</v>
      </c>
      <c r="B15" s="118">
        <v>2013</v>
      </c>
      <c r="C15" s="118" t="s">
        <v>722</v>
      </c>
      <c r="D15" s="118" t="s">
        <v>725</v>
      </c>
      <c r="E15" s="118" t="s">
        <v>190</v>
      </c>
      <c r="F15" s="125">
        <f t="shared" si="0"/>
        <v>3238.5</v>
      </c>
      <c r="G15" s="126">
        <v>2159</v>
      </c>
    </row>
    <row r="16" spans="1:12" ht="15" x14ac:dyDescent="0.25">
      <c r="A16" s="124" t="s">
        <v>733</v>
      </c>
      <c r="B16" s="118">
        <v>2013</v>
      </c>
      <c r="C16" s="118" t="s">
        <v>724</v>
      </c>
      <c r="D16" s="118" t="s">
        <v>728</v>
      </c>
      <c r="E16" s="118" t="s">
        <v>726</v>
      </c>
      <c r="F16" s="125">
        <f t="shared" si="0"/>
        <v>14596.5</v>
      </c>
      <c r="G16" s="126">
        <v>9731</v>
      </c>
    </row>
    <row r="17" spans="1:7" ht="15" x14ac:dyDescent="0.25">
      <c r="A17" s="124" t="s">
        <v>733</v>
      </c>
      <c r="B17" s="118">
        <v>2013</v>
      </c>
      <c r="C17" s="118" t="s">
        <v>727</v>
      </c>
      <c r="D17" s="118" t="s">
        <v>728</v>
      </c>
      <c r="E17" s="118" t="s">
        <v>726</v>
      </c>
      <c r="F17" s="125">
        <f t="shared" si="0"/>
        <v>8793</v>
      </c>
      <c r="G17" s="126">
        <v>5862</v>
      </c>
    </row>
    <row r="18" spans="1:7" ht="15" x14ac:dyDescent="0.25">
      <c r="A18" s="124" t="s">
        <v>733</v>
      </c>
      <c r="B18" s="118">
        <v>2013</v>
      </c>
      <c r="C18" s="118" t="s">
        <v>722</v>
      </c>
      <c r="D18" s="118" t="s">
        <v>723</v>
      </c>
      <c r="E18" s="118" t="s">
        <v>190</v>
      </c>
      <c r="F18" s="125">
        <f t="shared" si="0"/>
        <v>2395.5</v>
      </c>
      <c r="G18" s="126">
        <v>1597</v>
      </c>
    </row>
    <row r="19" spans="1:7" ht="15" x14ac:dyDescent="0.25">
      <c r="A19" s="124" t="s">
        <v>733</v>
      </c>
      <c r="B19" s="118">
        <v>2013</v>
      </c>
      <c r="C19" s="118" t="s">
        <v>729</v>
      </c>
      <c r="D19" s="118" t="s">
        <v>725</v>
      </c>
      <c r="E19" s="118" t="s">
        <v>726</v>
      </c>
      <c r="F19" s="125">
        <f t="shared" si="0"/>
        <v>3553.5</v>
      </c>
      <c r="G19" s="126">
        <v>2369</v>
      </c>
    </row>
    <row r="20" spans="1:7" ht="15" x14ac:dyDescent="0.25">
      <c r="A20" s="124" t="s">
        <v>733</v>
      </c>
      <c r="B20" s="118">
        <v>2013</v>
      </c>
      <c r="C20" s="118" t="s">
        <v>722</v>
      </c>
      <c r="D20" s="118" t="s">
        <v>723</v>
      </c>
      <c r="E20" s="118" t="s">
        <v>219</v>
      </c>
      <c r="F20" s="125">
        <f t="shared" si="0"/>
        <v>11761.5</v>
      </c>
      <c r="G20" s="126">
        <v>7841</v>
      </c>
    </row>
    <row r="21" spans="1:7" ht="15" x14ac:dyDescent="0.25">
      <c r="A21" s="124" t="s">
        <v>733</v>
      </c>
      <c r="B21" s="118">
        <v>2013</v>
      </c>
      <c r="C21" s="118" t="s">
        <v>724</v>
      </c>
      <c r="D21" s="118" t="s">
        <v>723</v>
      </c>
      <c r="E21" s="118" t="s">
        <v>726</v>
      </c>
      <c r="F21" s="125">
        <f t="shared" si="0"/>
        <v>8943</v>
      </c>
      <c r="G21" s="126">
        <v>5962</v>
      </c>
    </row>
    <row r="22" spans="1:7" ht="15" x14ac:dyDescent="0.25">
      <c r="A22" s="124" t="s">
        <v>733</v>
      </c>
      <c r="B22" s="118">
        <v>2013</v>
      </c>
      <c r="C22" s="118" t="s">
        <v>727</v>
      </c>
      <c r="D22" s="118" t="s">
        <v>725</v>
      </c>
      <c r="E22" s="118" t="s">
        <v>190</v>
      </c>
      <c r="F22" s="125">
        <f t="shared" si="0"/>
        <v>11122.5</v>
      </c>
      <c r="G22" s="126">
        <v>7415</v>
      </c>
    </row>
    <row r="23" spans="1:7" ht="15" x14ac:dyDescent="0.25">
      <c r="A23" s="124" t="s">
        <v>734</v>
      </c>
      <c r="B23" s="118">
        <v>2013</v>
      </c>
      <c r="C23" s="118" t="s">
        <v>722</v>
      </c>
      <c r="D23" s="118" t="s">
        <v>728</v>
      </c>
      <c r="E23" s="118" t="s">
        <v>219</v>
      </c>
      <c r="F23" s="125">
        <f t="shared" si="0"/>
        <v>13428</v>
      </c>
      <c r="G23" s="126">
        <v>8952</v>
      </c>
    </row>
    <row r="24" spans="1:7" ht="15" x14ac:dyDescent="0.25">
      <c r="A24" s="124" t="s">
        <v>734</v>
      </c>
      <c r="B24" s="118">
        <v>2013</v>
      </c>
      <c r="C24" s="118" t="s">
        <v>729</v>
      </c>
      <c r="D24" s="118" t="s">
        <v>728</v>
      </c>
      <c r="E24" s="118" t="s">
        <v>190</v>
      </c>
      <c r="F24" s="125">
        <f t="shared" si="0"/>
        <v>7480.5</v>
      </c>
      <c r="G24" s="126">
        <v>4987</v>
      </c>
    </row>
    <row r="25" spans="1:7" ht="15" x14ac:dyDescent="0.25">
      <c r="A25" s="124" t="s">
        <v>734</v>
      </c>
      <c r="B25" s="118">
        <v>2013</v>
      </c>
      <c r="C25" s="118" t="s">
        <v>722</v>
      </c>
      <c r="D25" s="118" t="s">
        <v>723</v>
      </c>
      <c r="E25" s="118" t="s">
        <v>190</v>
      </c>
      <c r="F25" s="125">
        <f t="shared" si="0"/>
        <v>4887</v>
      </c>
      <c r="G25" s="126">
        <v>3258</v>
      </c>
    </row>
    <row r="26" spans="1:7" ht="15" x14ac:dyDescent="0.25">
      <c r="A26" s="124" t="s">
        <v>734</v>
      </c>
      <c r="B26" s="118">
        <v>2013</v>
      </c>
      <c r="C26" s="118" t="s">
        <v>724</v>
      </c>
      <c r="D26" s="118" t="s">
        <v>725</v>
      </c>
      <c r="E26" s="118" t="s">
        <v>190</v>
      </c>
      <c r="F26" s="125">
        <f t="shared" si="0"/>
        <v>14647.5</v>
      </c>
      <c r="G26" s="126">
        <v>9765</v>
      </c>
    </row>
    <row r="27" spans="1:7" ht="15" x14ac:dyDescent="0.25">
      <c r="A27" s="124" t="s">
        <v>734</v>
      </c>
      <c r="B27" s="118">
        <v>2013</v>
      </c>
      <c r="C27" s="118" t="s">
        <v>727</v>
      </c>
      <c r="D27" s="118" t="s">
        <v>723</v>
      </c>
      <c r="E27" s="118" t="s">
        <v>190</v>
      </c>
      <c r="F27" s="125">
        <f t="shared" si="0"/>
        <v>14619</v>
      </c>
      <c r="G27" s="126">
        <v>9746</v>
      </c>
    </row>
    <row r="28" spans="1:7" ht="15" x14ac:dyDescent="0.25">
      <c r="A28" s="124" t="s">
        <v>734</v>
      </c>
      <c r="B28" s="118">
        <v>2013</v>
      </c>
      <c r="C28" s="118" t="s">
        <v>722</v>
      </c>
      <c r="D28" s="118" t="s">
        <v>728</v>
      </c>
      <c r="E28" s="118" t="s">
        <v>219</v>
      </c>
      <c r="F28" s="125">
        <f t="shared" si="0"/>
        <v>5380.5</v>
      </c>
      <c r="G28" s="126">
        <v>3587</v>
      </c>
    </row>
    <row r="29" spans="1:7" ht="15" x14ac:dyDescent="0.25">
      <c r="A29" s="124" t="s">
        <v>734</v>
      </c>
      <c r="B29" s="118">
        <v>2013</v>
      </c>
      <c r="C29" s="118" t="s">
        <v>729</v>
      </c>
      <c r="D29" s="118" t="s">
        <v>728</v>
      </c>
      <c r="E29" s="118" t="s">
        <v>190</v>
      </c>
      <c r="F29" s="125">
        <f t="shared" si="0"/>
        <v>14446.5</v>
      </c>
      <c r="G29" s="126">
        <v>9631</v>
      </c>
    </row>
    <row r="30" spans="1:7" ht="15" x14ac:dyDescent="0.25">
      <c r="A30" s="124" t="s">
        <v>734</v>
      </c>
      <c r="B30" s="118">
        <v>2013</v>
      </c>
      <c r="C30" s="118" t="s">
        <v>722</v>
      </c>
      <c r="D30" s="118" t="s">
        <v>723</v>
      </c>
      <c r="E30" s="118" t="s">
        <v>190</v>
      </c>
      <c r="F30" s="125">
        <f t="shared" si="0"/>
        <v>867</v>
      </c>
      <c r="G30" s="126">
        <v>578</v>
      </c>
    </row>
    <row r="31" spans="1:7" ht="15" x14ac:dyDescent="0.25">
      <c r="A31" s="124" t="s">
        <v>618</v>
      </c>
      <c r="B31" s="118">
        <v>2013</v>
      </c>
      <c r="C31" s="118" t="s">
        <v>724</v>
      </c>
      <c r="D31" s="118" t="s">
        <v>725</v>
      </c>
      <c r="E31" s="118" t="s">
        <v>219</v>
      </c>
      <c r="F31" s="125">
        <f t="shared" si="0"/>
        <v>1498.5</v>
      </c>
      <c r="G31" s="126">
        <v>999</v>
      </c>
    </row>
    <row r="32" spans="1:7" ht="15" x14ac:dyDescent="0.25">
      <c r="A32" s="124" t="s">
        <v>618</v>
      </c>
      <c r="B32" s="118">
        <v>2013</v>
      </c>
      <c r="C32" s="118" t="s">
        <v>727</v>
      </c>
      <c r="D32" s="118" t="s">
        <v>725</v>
      </c>
      <c r="E32" s="118" t="s">
        <v>219</v>
      </c>
      <c r="F32" s="125">
        <f t="shared" si="0"/>
        <v>235.5</v>
      </c>
      <c r="G32" s="126">
        <v>157</v>
      </c>
    </row>
    <row r="33" spans="1:7" ht="15" x14ac:dyDescent="0.25">
      <c r="A33" s="124" t="s">
        <v>618</v>
      </c>
      <c r="B33" s="118">
        <v>2013</v>
      </c>
      <c r="C33" s="118" t="s">
        <v>722</v>
      </c>
      <c r="D33" s="118" t="s">
        <v>725</v>
      </c>
      <c r="E33" s="118" t="s">
        <v>219</v>
      </c>
      <c r="F33" s="125">
        <f t="shared" si="0"/>
        <v>11838</v>
      </c>
      <c r="G33" s="126">
        <v>7892</v>
      </c>
    </row>
    <row r="34" spans="1:7" ht="15" x14ac:dyDescent="0.25">
      <c r="A34" s="124" t="s">
        <v>618</v>
      </c>
      <c r="B34" s="118">
        <v>2013</v>
      </c>
      <c r="C34" s="118" t="s">
        <v>729</v>
      </c>
      <c r="D34" s="118" t="s">
        <v>723</v>
      </c>
      <c r="E34" s="118" t="s">
        <v>190</v>
      </c>
      <c r="F34" s="125">
        <f t="shared" si="0"/>
        <v>2367</v>
      </c>
      <c r="G34" s="126">
        <v>1578</v>
      </c>
    </row>
    <row r="35" spans="1:7" ht="15" x14ac:dyDescent="0.25">
      <c r="A35" s="124" t="s">
        <v>618</v>
      </c>
      <c r="B35" s="118">
        <v>2013</v>
      </c>
      <c r="C35" s="118" t="s">
        <v>722</v>
      </c>
      <c r="D35" s="118" t="s">
        <v>728</v>
      </c>
      <c r="E35" s="118" t="s">
        <v>726</v>
      </c>
      <c r="F35" s="125">
        <f t="shared" si="0"/>
        <v>7030.5</v>
      </c>
      <c r="G35" s="126">
        <v>4687</v>
      </c>
    </row>
    <row r="36" spans="1:7" ht="15" x14ac:dyDescent="0.25">
      <c r="A36" s="124" t="s">
        <v>618</v>
      </c>
      <c r="B36" s="118">
        <v>2013</v>
      </c>
      <c r="C36" s="118" t="s">
        <v>724</v>
      </c>
      <c r="D36" s="118" t="s">
        <v>728</v>
      </c>
      <c r="E36" s="118" t="s">
        <v>726</v>
      </c>
      <c r="F36" s="125">
        <f t="shared" si="0"/>
        <v>2046</v>
      </c>
      <c r="G36" s="126">
        <v>1364</v>
      </c>
    </row>
    <row r="37" spans="1:7" ht="15" x14ac:dyDescent="0.25">
      <c r="A37" s="124" t="s">
        <v>618</v>
      </c>
      <c r="B37" s="118">
        <v>2013</v>
      </c>
      <c r="C37" s="118" t="s">
        <v>727</v>
      </c>
      <c r="D37" s="118" t="s">
        <v>723</v>
      </c>
      <c r="E37" s="118" t="s">
        <v>726</v>
      </c>
      <c r="F37" s="125">
        <f t="shared" si="0"/>
        <v>6880.5</v>
      </c>
      <c r="G37" s="126">
        <v>4587</v>
      </c>
    </row>
    <row r="38" spans="1:7" ht="15" x14ac:dyDescent="0.25">
      <c r="A38" s="124" t="s">
        <v>618</v>
      </c>
      <c r="B38" s="118">
        <v>2013</v>
      </c>
      <c r="C38" s="118" t="s">
        <v>722</v>
      </c>
      <c r="D38" s="118" t="s">
        <v>725</v>
      </c>
      <c r="E38" s="118" t="s">
        <v>219</v>
      </c>
      <c r="F38" s="125">
        <f t="shared" si="0"/>
        <v>11979</v>
      </c>
      <c r="G38" s="126">
        <v>7986</v>
      </c>
    </row>
    <row r="39" spans="1:7" ht="15" x14ac:dyDescent="0.25">
      <c r="A39" s="124" t="s">
        <v>618</v>
      </c>
      <c r="B39" s="118">
        <v>2013</v>
      </c>
      <c r="C39" s="118" t="s">
        <v>729</v>
      </c>
      <c r="D39" s="118" t="s">
        <v>725</v>
      </c>
      <c r="E39" s="118" t="s">
        <v>219</v>
      </c>
      <c r="F39" s="125">
        <f t="shared" si="0"/>
        <v>7344</v>
      </c>
      <c r="G39" s="126">
        <v>4896</v>
      </c>
    </row>
    <row r="40" spans="1:7" ht="15" x14ac:dyDescent="0.25">
      <c r="A40" s="124" t="s">
        <v>618</v>
      </c>
      <c r="B40" s="118">
        <v>2013</v>
      </c>
      <c r="C40" s="118" t="s">
        <v>722</v>
      </c>
      <c r="D40" s="118" t="s">
        <v>725</v>
      </c>
      <c r="E40" s="118" t="s">
        <v>219</v>
      </c>
      <c r="F40" s="125">
        <f t="shared" si="0"/>
        <v>6880.5</v>
      </c>
      <c r="G40" s="126">
        <v>4587</v>
      </c>
    </row>
    <row r="41" spans="1:7" ht="15" x14ac:dyDescent="0.25">
      <c r="A41" s="124" t="s">
        <v>618</v>
      </c>
      <c r="B41" s="118">
        <v>2013</v>
      </c>
      <c r="C41" s="118" t="s">
        <v>724</v>
      </c>
      <c r="D41" s="118" t="s">
        <v>723</v>
      </c>
      <c r="E41" s="118" t="s">
        <v>219</v>
      </c>
      <c r="F41" s="125">
        <f t="shared" si="0"/>
        <v>747</v>
      </c>
      <c r="G41" s="126">
        <v>498</v>
      </c>
    </row>
    <row r="42" spans="1:7" ht="15" x14ac:dyDescent="0.25">
      <c r="A42" s="124" t="s">
        <v>618</v>
      </c>
      <c r="B42" s="118">
        <v>2013</v>
      </c>
      <c r="C42" s="118" t="s">
        <v>727</v>
      </c>
      <c r="D42" s="118" t="s">
        <v>728</v>
      </c>
      <c r="E42" s="118" t="s">
        <v>219</v>
      </c>
      <c r="F42" s="125">
        <f t="shared" si="0"/>
        <v>6880.5</v>
      </c>
      <c r="G42" s="126">
        <v>4587</v>
      </c>
    </row>
    <row r="43" spans="1:7" ht="15" x14ac:dyDescent="0.25">
      <c r="A43" s="124" t="s">
        <v>618</v>
      </c>
      <c r="B43" s="118">
        <v>2013</v>
      </c>
      <c r="C43" s="118" t="s">
        <v>722</v>
      </c>
      <c r="D43" s="118" t="s">
        <v>728</v>
      </c>
      <c r="E43" s="118" t="s">
        <v>190</v>
      </c>
      <c r="F43" s="125">
        <f t="shared" si="0"/>
        <v>9486</v>
      </c>
      <c r="G43" s="126">
        <v>6324</v>
      </c>
    </row>
    <row r="44" spans="1:7" ht="15" x14ac:dyDescent="0.25">
      <c r="A44" s="124" t="s">
        <v>619</v>
      </c>
      <c r="B44" s="118">
        <v>2013</v>
      </c>
      <c r="C44" s="118" t="s">
        <v>729</v>
      </c>
      <c r="D44" s="118" t="s">
        <v>723</v>
      </c>
      <c r="E44" s="118" t="s">
        <v>190</v>
      </c>
      <c r="F44" s="125">
        <f t="shared" si="0"/>
        <v>7342.5</v>
      </c>
      <c r="G44" s="126">
        <v>4895</v>
      </c>
    </row>
    <row r="45" spans="1:7" ht="15" x14ac:dyDescent="0.25">
      <c r="A45" s="124" t="s">
        <v>619</v>
      </c>
      <c r="B45" s="118">
        <v>2013</v>
      </c>
      <c r="C45" s="118" t="s">
        <v>722</v>
      </c>
      <c r="D45" s="118" t="s">
        <v>725</v>
      </c>
      <c r="E45" s="118" t="s">
        <v>219</v>
      </c>
      <c r="F45" s="125">
        <f t="shared" si="0"/>
        <v>7318.5</v>
      </c>
      <c r="G45" s="126">
        <v>4879</v>
      </c>
    </row>
    <row r="46" spans="1:7" ht="15" x14ac:dyDescent="0.25">
      <c r="A46" s="124" t="s">
        <v>619</v>
      </c>
      <c r="B46" s="118">
        <v>2013</v>
      </c>
      <c r="C46" s="118" t="s">
        <v>722</v>
      </c>
      <c r="D46" s="118" t="s">
        <v>723</v>
      </c>
      <c r="E46" s="118" t="s">
        <v>219</v>
      </c>
      <c r="F46" s="125">
        <f t="shared" si="0"/>
        <v>8434.5</v>
      </c>
      <c r="G46" s="126">
        <v>5623</v>
      </c>
    </row>
    <row r="47" spans="1:7" ht="15" x14ac:dyDescent="0.25">
      <c r="A47" s="124" t="s">
        <v>619</v>
      </c>
      <c r="B47" s="118">
        <v>2013</v>
      </c>
      <c r="C47" s="118" t="s">
        <v>724</v>
      </c>
      <c r="D47" s="118" t="s">
        <v>725</v>
      </c>
      <c r="E47" s="118" t="s">
        <v>726</v>
      </c>
      <c r="F47" s="125">
        <f t="shared" si="0"/>
        <v>3897</v>
      </c>
      <c r="G47" s="126">
        <v>2598</v>
      </c>
    </row>
    <row r="48" spans="1:7" ht="15" x14ac:dyDescent="0.25">
      <c r="A48" s="124" t="s">
        <v>619</v>
      </c>
      <c r="B48" s="118">
        <v>2013</v>
      </c>
      <c r="C48" s="118" t="s">
        <v>727</v>
      </c>
      <c r="D48" s="118" t="s">
        <v>728</v>
      </c>
      <c r="E48" s="118" t="s">
        <v>726</v>
      </c>
      <c r="F48" s="125">
        <f t="shared" si="0"/>
        <v>12370.5</v>
      </c>
      <c r="G48" s="126">
        <v>8247</v>
      </c>
    </row>
    <row r="49" spans="1:7" ht="15" x14ac:dyDescent="0.25">
      <c r="A49" s="124" t="s">
        <v>619</v>
      </c>
      <c r="B49" s="118">
        <v>2013</v>
      </c>
      <c r="C49" s="118" t="s">
        <v>722</v>
      </c>
      <c r="D49" s="118" t="s">
        <v>723</v>
      </c>
      <c r="E49" s="118" t="s">
        <v>726</v>
      </c>
      <c r="F49" s="125">
        <f t="shared" si="0"/>
        <v>10992</v>
      </c>
      <c r="G49" s="126">
        <v>7328</v>
      </c>
    </row>
    <row r="50" spans="1:7" ht="15" x14ac:dyDescent="0.25">
      <c r="A50" s="124" t="s">
        <v>619</v>
      </c>
      <c r="B50" s="118">
        <v>2013</v>
      </c>
      <c r="C50" s="118" t="s">
        <v>729</v>
      </c>
      <c r="D50" s="118" t="s">
        <v>725</v>
      </c>
      <c r="E50" s="118" t="s">
        <v>726</v>
      </c>
      <c r="F50" s="125">
        <f t="shared" si="0"/>
        <v>3084</v>
      </c>
      <c r="G50" s="126">
        <v>2056</v>
      </c>
    </row>
    <row r="51" spans="1:7" ht="15" x14ac:dyDescent="0.25">
      <c r="A51" s="124" t="s">
        <v>620</v>
      </c>
      <c r="B51" s="118">
        <v>2013</v>
      </c>
      <c r="C51" s="118" t="s">
        <v>722</v>
      </c>
      <c r="D51" s="118" t="s">
        <v>728</v>
      </c>
      <c r="E51" s="118" t="s">
        <v>726</v>
      </c>
      <c r="F51" s="125">
        <f t="shared" si="0"/>
        <v>13231.5</v>
      </c>
      <c r="G51" s="126">
        <v>8821</v>
      </c>
    </row>
    <row r="52" spans="1:7" ht="15" x14ac:dyDescent="0.25">
      <c r="A52" s="124" t="s">
        <v>620</v>
      </c>
      <c r="B52" s="118">
        <v>2013</v>
      </c>
      <c r="C52" s="118" t="s">
        <v>724</v>
      </c>
      <c r="D52" s="118" t="s">
        <v>723</v>
      </c>
      <c r="E52" s="118" t="s">
        <v>190</v>
      </c>
      <c r="F52" s="125">
        <f t="shared" si="0"/>
        <v>8832</v>
      </c>
      <c r="G52" s="126">
        <v>5888</v>
      </c>
    </row>
    <row r="53" spans="1:7" ht="15" x14ac:dyDescent="0.25">
      <c r="A53" s="124" t="s">
        <v>620</v>
      </c>
      <c r="B53" s="118">
        <v>2013</v>
      </c>
      <c r="C53" s="118" t="s">
        <v>727</v>
      </c>
      <c r="D53" s="118" t="s">
        <v>725</v>
      </c>
      <c r="E53" s="118" t="s">
        <v>219</v>
      </c>
      <c r="F53" s="125">
        <f t="shared" si="0"/>
        <v>3547.5</v>
      </c>
      <c r="G53" s="126">
        <v>2365</v>
      </c>
    </row>
    <row r="54" spans="1:7" ht="15" x14ac:dyDescent="0.25">
      <c r="A54" s="124" t="s">
        <v>620</v>
      </c>
      <c r="B54" s="118">
        <v>2013</v>
      </c>
      <c r="C54" s="118" t="s">
        <v>722</v>
      </c>
      <c r="D54" s="118" t="s">
        <v>723</v>
      </c>
      <c r="E54" s="118" t="s">
        <v>190</v>
      </c>
      <c r="F54" s="125">
        <f t="shared" si="0"/>
        <v>13413</v>
      </c>
      <c r="G54" s="126">
        <v>8942</v>
      </c>
    </row>
    <row r="55" spans="1:7" ht="15" x14ac:dyDescent="0.25">
      <c r="A55" s="124" t="s">
        <v>620</v>
      </c>
      <c r="B55" s="118">
        <v>2013</v>
      </c>
      <c r="C55" s="118" t="s">
        <v>729</v>
      </c>
      <c r="D55" s="118" t="s">
        <v>723</v>
      </c>
      <c r="E55" s="118" t="s">
        <v>190</v>
      </c>
      <c r="F55" s="125">
        <f t="shared" si="0"/>
        <v>4026</v>
      </c>
      <c r="G55" s="126">
        <v>2684</v>
      </c>
    </row>
    <row r="56" spans="1:7" ht="15" x14ac:dyDescent="0.25">
      <c r="A56" s="124" t="s">
        <v>620</v>
      </c>
      <c r="B56" s="118">
        <v>2013</v>
      </c>
      <c r="C56" s="118" t="s">
        <v>722</v>
      </c>
      <c r="D56" s="118" t="s">
        <v>725</v>
      </c>
      <c r="E56" s="118" t="s">
        <v>190</v>
      </c>
      <c r="F56" s="125">
        <f t="shared" si="0"/>
        <v>3238.5</v>
      </c>
      <c r="G56" s="126">
        <v>2159</v>
      </c>
    </row>
    <row r="57" spans="1:7" ht="15" x14ac:dyDescent="0.25">
      <c r="A57" s="124" t="s">
        <v>620</v>
      </c>
      <c r="B57" s="118">
        <v>2013</v>
      </c>
      <c r="C57" s="118" t="s">
        <v>724</v>
      </c>
      <c r="D57" s="118" t="s">
        <v>728</v>
      </c>
      <c r="E57" s="118" t="s">
        <v>726</v>
      </c>
      <c r="F57" s="125">
        <f t="shared" si="0"/>
        <v>14596.5</v>
      </c>
      <c r="G57" s="126">
        <v>9731</v>
      </c>
    </row>
    <row r="58" spans="1:7" ht="15" x14ac:dyDescent="0.25">
      <c r="A58" s="124" t="s">
        <v>735</v>
      </c>
      <c r="B58" s="118">
        <v>2013</v>
      </c>
      <c r="C58" s="118" t="s">
        <v>727</v>
      </c>
      <c r="D58" s="118" t="s">
        <v>728</v>
      </c>
      <c r="E58" s="118" t="s">
        <v>726</v>
      </c>
      <c r="F58" s="125">
        <f t="shared" si="0"/>
        <v>8793</v>
      </c>
      <c r="G58" s="126">
        <v>5862</v>
      </c>
    </row>
    <row r="59" spans="1:7" ht="15" x14ac:dyDescent="0.25">
      <c r="A59" s="124" t="s">
        <v>735</v>
      </c>
      <c r="B59" s="118">
        <v>2013</v>
      </c>
      <c r="C59" s="118" t="s">
        <v>722</v>
      </c>
      <c r="D59" s="118" t="s">
        <v>723</v>
      </c>
      <c r="E59" s="118" t="s">
        <v>190</v>
      </c>
      <c r="F59" s="125">
        <f t="shared" si="0"/>
        <v>2395.5</v>
      </c>
      <c r="G59" s="126">
        <v>1597</v>
      </c>
    </row>
    <row r="60" spans="1:7" ht="15" x14ac:dyDescent="0.25">
      <c r="A60" s="124" t="s">
        <v>735</v>
      </c>
      <c r="B60" s="118">
        <v>2013</v>
      </c>
      <c r="C60" s="118" t="s">
        <v>729</v>
      </c>
      <c r="D60" s="118" t="s">
        <v>725</v>
      </c>
      <c r="E60" s="118" t="s">
        <v>726</v>
      </c>
      <c r="F60" s="125">
        <f t="shared" si="0"/>
        <v>3553.5</v>
      </c>
      <c r="G60" s="126">
        <v>2369</v>
      </c>
    </row>
    <row r="61" spans="1:7" ht="15" x14ac:dyDescent="0.25">
      <c r="A61" s="124" t="s">
        <v>735</v>
      </c>
      <c r="B61" s="118">
        <v>2013</v>
      </c>
      <c r="C61" s="118" t="s">
        <v>722</v>
      </c>
      <c r="D61" s="118" t="s">
        <v>723</v>
      </c>
      <c r="E61" s="118" t="s">
        <v>219</v>
      </c>
      <c r="F61" s="125">
        <f t="shared" si="0"/>
        <v>11761.5</v>
      </c>
      <c r="G61" s="126">
        <v>7841</v>
      </c>
    </row>
    <row r="62" spans="1:7" ht="15" x14ac:dyDescent="0.25">
      <c r="A62" s="124" t="s">
        <v>735</v>
      </c>
      <c r="B62" s="118">
        <v>2013</v>
      </c>
      <c r="C62" s="118" t="s">
        <v>724</v>
      </c>
      <c r="D62" s="118" t="s">
        <v>723</v>
      </c>
      <c r="E62" s="118" t="s">
        <v>726</v>
      </c>
      <c r="F62" s="125">
        <f t="shared" si="0"/>
        <v>8943</v>
      </c>
      <c r="G62" s="126">
        <v>5962</v>
      </c>
    </row>
    <row r="63" spans="1:7" ht="15" x14ac:dyDescent="0.25">
      <c r="A63" s="124" t="s">
        <v>735</v>
      </c>
      <c r="B63" s="118">
        <v>2013</v>
      </c>
      <c r="C63" s="118" t="s">
        <v>727</v>
      </c>
      <c r="D63" s="118" t="s">
        <v>725</v>
      </c>
      <c r="E63" s="118" t="s">
        <v>190</v>
      </c>
      <c r="F63" s="125">
        <f t="shared" si="0"/>
        <v>11122.5</v>
      </c>
      <c r="G63" s="126">
        <v>7415</v>
      </c>
    </row>
    <row r="64" spans="1:7" ht="15" x14ac:dyDescent="0.25">
      <c r="A64" s="124" t="s">
        <v>735</v>
      </c>
      <c r="B64" s="118">
        <v>2013</v>
      </c>
      <c r="C64" s="118" t="s">
        <v>722</v>
      </c>
      <c r="D64" s="118" t="s">
        <v>728</v>
      </c>
      <c r="E64" s="118" t="s">
        <v>219</v>
      </c>
      <c r="F64" s="125">
        <f t="shared" si="0"/>
        <v>13428</v>
      </c>
      <c r="G64" s="126">
        <v>8952</v>
      </c>
    </row>
    <row r="65" spans="1:7" ht="15" x14ac:dyDescent="0.25">
      <c r="A65" s="124" t="s">
        <v>735</v>
      </c>
      <c r="B65" s="118">
        <v>2013</v>
      </c>
      <c r="C65" s="118" t="s">
        <v>729</v>
      </c>
      <c r="D65" s="118" t="s">
        <v>728</v>
      </c>
      <c r="E65" s="118" t="s">
        <v>190</v>
      </c>
      <c r="F65" s="125">
        <f t="shared" si="0"/>
        <v>7480.5</v>
      </c>
      <c r="G65" s="126">
        <v>4987</v>
      </c>
    </row>
    <row r="66" spans="1:7" ht="15" x14ac:dyDescent="0.25">
      <c r="A66" s="124" t="s">
        <v>736</v>
      </c>
      <c r="B66" s="118">
        <v>2013</v>
      </c>
      <c r="C66" s="118" t="s">
        <v>722</v>
      </c>
      <c r="D66" s="118" t="s">
        <v>723</v>
      </c>
      <c r="E66" s="118" t="s">
        <v>190</v>
      </c>
      <c r="F66" s="125">
        <f t="shared" si="0"/>
        <v>4887</v>
      </c>
      <c r="G66" s="126">
        <v>3258</v>
      </c>
    </row>
    <row r="67" spans="1:7" ht="15" x14ac:dyDescent="0.25">
      <c r="A67" s="124" t="s">
        <v>736</v>
      </c>
      <c r="B67" s="118">
        <v>2013</v>
      </c>
      <c r="C67" s="118" t="s">
        <v>724</v>
      </c>
      <c r="D67" s="118" t="s">
        <v>725</v>
      </c>
      <c r="E67" s="118" t="s">
        <v>190</v>
      </c>
      <c r="F67" s="125">
        <f t="shared" si="0"/>
        <v>14647.5</v>
      </c>
      <c r="G67" s="126">
        <v>9765</v>
      </c>
    </row>
    <row r="68" spans="1:7" ht="15" x14ac:dyDescent="0.25">
      <c r="A68" s="124" t="s">
        <v>736</v>
      </c>
      <c r="B68" s="118">
        <v>2013</v>
      </c>
      <c r="C68" s="118" t="s">
        <v>727</v>
      </c>
      <c r="D68" s="118" t="s">
        <v>723</v>
      </c>
      <c r="E68" s="118" t="s">
        <v>190</v>
      </c>
      <c r="F68" s="125">
        <f t="shared" si="0"/>
        <v>14619</v>
      </c>
      <c r="G68" s="126">
        <v>9746</v>
      </c>
    </row>
    <row r="69" spans="1:7" ht="15" x14ac:dyDescent="0.25">
      <c r="A69" s="124" t="s">
        <v>736</v>
      </c>
      <c r="B69" s="118">
        <v>2013</v>
      </c>
      <c r="C69" s="118" t="s">
        <v>722</v>
      </c>
      <c r="D69" s="118" t="s">
        <v>728</v>
      </c>
      <c r="E69" s="118" t="s">
        <v>219</v>
      </c>
      <c r="F69" s="125">
        <f t="shared" ref="F69:F132" si="1">G69*1.5</f>
        <v>5380.5</v>
      </c>
      <c r="G69" s="126">
        <v>3587</v>
      </c>
    </row>
    <row r="70" spans="1:7" ht="15" x14ac:dyDescent="0.25">
      <c r="A70" s="124" t="s">
        <v>736</v>
      </c>
      <c r="B70" s="118">
        <v>2013</v>
      </c>
      <c r="C70" s="118" t="s">
        <v>729</v>
      </c>
      <c r="D70" s="118" t="s">
        <v>728</v>
      </c>
      <c r="E70" s="118" t="s">
        <v>190</v>
      </c>
      <c r="F70" s="125">
        <f t="shared" si="1"/>
        <v>14446.5</v>
      </c>
      <c r="G70" s="126">
        <v>9631</v>
      </c>
    </row>
    <row r="71" spans="1:7" ht="15" x14ac:dyDescent="0.25">
      <c r="A71" s="124" t="s">
        <v>736</v>
      </c>
      <c r="B71" s="118">
        <v>2013</v>
      </c>
      <c r="C71" s="118" t="s">
        <v>722</v>
      </c>
      <c r="D71" s="118" t="s">
        <v>723</v>
      </c>
      <c r="E71" s="118" t="s">
        <v>190</v>
      </c>
      <c r="F71" s="125">
        <f t="shared" si="1"/>
        <v>867</v>
      </c>
      <c r="G71" s="126">
        <v>578</v>
      </c>
    </row>
    <row r="72" spans="1:7" ht="15" x14ac:dyDescent="0.25">
      <c r="A72" s="124" t="s">
        <v>737</v>
      </c>
      <c r="B72" s="118">
        <v>2013</v>
      </c>
      <c r="C72" s="118" t="s">
        <v>724</v>
      </c>
      <c r="D72" s="118" t="s">
        <v>725</v>
      </c>
      <c r="E72" s="118" t="s">
        <v>219</v>
      </c>
      <c r="F72" s="125">
        <f t="shared" si="1"/>
        <v>1498.5</v>
      </c>
      <c r="G72" s="126">
        <v>999</v>
      </c>
    </row>
    <row r="73" spans="1:7" ht="15" x14ac:dyDescent="0.25">
      <c r="A73" s="124" t="s">
        <v>737</v>
      </c>
      <c r="B73" s="118">
        <v>2013</v>
      </c>
      <c r="C73" s="118" t="s">
        <v>727</v>
      </c>
      <c r="D73" s="118" t="s">
        <v>725</v>
      </c>
      <c r="E73" s="118" t="s">
        <v>219</v>
      </c>
      <c r="F73" s="125">
        <f t="shared" si="1"/>
        <v>235.5</v>
      </c>
      <c r="G73" s="126">
        <v>157</v>
      </c>
    </row>
    <row r="74" spans="1:7" ht="15" x14ac:dyDescent="0.25">
      <c r="A74" s="124" t="s">
        <v>737</v>
      </c>
      <c r="B74" s="118">
        <v>2013</v>
      </c>
      <c r="C74" s="118" t="s">
        <v>722</v>
      </c>
      <c r="D74" s="118" t="s">
        <v>725</v>
      </c>
      <c r="E74" s="118" t="s">
        <v>219</v>
      </c>
      <c r="F74" s="125">
        <f t="shared" si="1"/>
        <v>11838</v>
      </c>
      <c r="G74" s="126">
        <v>7892</v>
      </c>
    </row>
    <row r="75" spans="1:7" ht="15" x14ac:dyDescent="0.25">
      <c r="A75" s="124" t="s">
        <v>737</v>
      </c>
      <c r="B75" s="118">
        <v>2013</v>
      </c>
      <c r="C75" s="118" t="s">
        <v>729</v>
      </c>
      <c r="D75" s="118" t="s">
        <v>723</v>
      </c>
      <c r="E75" s="118" t="s">
        <v>190</v>
      </c>
      <c r="F75" s="125">
        <f t="shared" si="1"/>
        <v>2367</v>
      </c>
      <c r="G75" s="126">
        <v>1578</v>
      </c>
    </row>
    <row r="76" spans="1:7" ht="15" x14ac:dyDescent="0.25">
      <c r="A76" s="124" t="s">
        <v>737</v>
      </c>
      <c r="B76" s="118">
        <v>2013</v>
      </c>
      <c r="C76" s="118" t="s">
        <v>722</v>
      </c>
      <c r="D76" s="118" t="s">
        <v>728</v>
      </c>
      <c r="E76" s="118" t="s">
        <v>726</v>
      </c>
      <c r="F76" s="125">
        <f t="shared" si="1"/>
        <v>7030.5</v>
      </c>
      <c r="G76" s="126">
        <v>4687</v>
      </c>
    </row>
    <row r="77" spans="1:7" ht="15" x14ac:dyDescent="0.25">
      <c r="A77" s="124" t="s">
        <v>737</v>
      </c>
      <c r="B77" s="118">
        <v>2013</v>
      </c>
      <c r="C77" s="118" t="s">
        <v>724</v>
      </c>
      <c r="D77" s="118" t="s">
        <v>728</v>
      </c>
      <c r="E77" s="118" t="s">
        <v>726</v>
      </c>
      <c r="F77" s="125">
        <f t="shared" si="1"/>
        <v>2046</v>
      </c>
      <c r="G77" s="126">
        <v>1364</v>
      </c>
    </row>
    <row r="78" spans="1:7" ht="15" x14ac:dyDescent="0.25">
      <c r="A78" s="124" t="s">
        <v>738</v>
      </c>
      <c r="B78" s="118">
        <v>2013</v>
      </c>
      <c r="C78" s="118" t="s">
        <v>727</v>
      </c>
      <c r="D78" s="118" t="s">
        <v>723</v>
      </c>
      <c r="E78" s="118" t="s">
        <v>726</v>
      </c>
      <c r="F78" s="125">
        <f t="shared" si="1"/>
        <v>6880.5</v>
      </c>
      <c r="G78" s="126">
        <v>4587</v>
      </c>
    </row>
    <row r="79" spans="1:7" ht="15" x14ac:dyDescent="0.25">
      <c r="A79" s="124" t="s">
        <v>738</v>
      </c>
      <c r="B79" s="118">
        <v>2013</v>
      </c>
      <c r="C79" s="118" t="s">
        <v>722</v>
      </c>
      <c r="D79" s="118" t="s">
        <v>725</v>
      </c>
      <c r="E79" s="118" t="s">
        <v>219</v>
      </c>
      <c r="F79" s="125">
        <f t="shared" si="1"/>
        <v>11979</v>
      </c>
      <c r="G79" s="126">
        <v>7986</v>
      </c>
    </row>
    <row r="80" spans="1:7" ht="15" x14ac:dyDescent="0.25">
      <c r="A80" s="124" t="s">
        <v>738</v>
      </c>
      <c r="B80" s="118">
        <v>2013</v>
      </c>
      <c r="C80" s="118" t="s">
        <v>729</v>
      </c>
      <c r="D80" s="118" t="s">
        <v>725</v>
      </c>
      <c r="E80" s="118" t="s">
        <v>219</v>
      </c>
      <c r="F80" s="125">
        <f t="shared" si="1"/>
        <v>7344</v>
      </c>
      <c r="G80" s="126">
        <v>4896</v>
      </c>
    </row>
    <row r="81" spans="1:7" ht="15" x14ac:dyDescent="0.25">
      <c r="A81" s="124" t="s">
        <v>738</v>
      </c>
      <c r="B81" s="118">
        <v>2013</v>
      </c>
      <c r="C81" s="118" t="s">
        <v>722</v>
      </c>
      <c r="D81" s="118" t="s">
        <v>725</v>
      </c>
      <c r="E81" s="118" t="s">
        <v>219</v>
      </c>
      <c r="F81" s="125">
        <f t="shared" si="1"/>
        <v>6880.5</v>
      </c>
      <c r="G81" s="126">
        <v>4587</v>
      </c>
    </row>
    <row r="82" spans="1:7" ht="15" x14ac:dyDescent="0.25">
      <c r="A82" s="124" t="s">
        <v>738</v>
      </c>
      <c r="B82" s="118">
        <v>2013</v>
      </c>
      <c r="C82" s="118" t="s">
        <v>724</v>
      </c>
      <c r="D82" s="118" t="s">
        <v>723</v>
      </c>
      <c r="E82" s="118" t="s">
        <v>219</v>
      </c>
      <c r="F82" s="125">
        <f t="shared" si="1"/>
        <v>747</v>
      </c>
      <c r="G82" s="126">
        <v>498</v>
      </c>
    </row>
    <row r="83" spans="1:7" ht="15" x14ac:dyDescent="0.25">
      <c r="A83" s="124" t="s">
        <v>739</v>
      </c>
      <c r="B83" s="118">
        <v>2013</v>
      </c>
      <c r="C83" s="118" t="s">
        <v>727</v>
      </c>
      <c r="D83" s="118" t="s">
        <v>728</v>
      </c>
      <c r="E83" s="118" t="s">
        <v>219</v>
      </c>
      <c r="F83" s="125">
        <f t="shared" si="1"/>
        <v>6880.5</v>
      </c>
      <c r="G83" s="126">
        <v>4587</v>
      </c>
    </row>
    <row r="84" spans="1:7" ht="15" x14ac:dyDescent="0.25">
      <c r="A84" s="124" t="s">
        <v>739</v>
      </c>
      <c r="B84" s="118">
        <v>2013</v>
      </c>
      <c r="C84" s="118" t="s">
        <v>722</v>
      </c>
      <c r="D84" s="118" t="s">
        <v>728</v>
      </c>
      <c r="E84" s="118" t="s">
        <v>190</v>
      </c>
      <c r="F84" s="125">
        <f t="shared" si="1"/>
        <v>9486</v>
      </c>
      <c r="G84" s="126">
        <v>6324</v>
      </c>
    </row>
    <row r="85" spans="1:7" ht="15" x14ac:dyDescent="0.25">
      <c r="A85" s="124" t="s">
        <v>739</v>
      </c>
      <c r="B85" s="118">
        <v>2013</v>
      </c>
      <c r="C85" s="118" t="s">
        <v>729</v>
      </c>
      <c r="D85" s="118" t="s">
        <v>723</v>
      </c>
      <c r="E85" s="118" t="s">
        <v>190</v>
      </c>
      <c r="F85" s="125">
        <f t="shared" si="1"/>
        <v>7342.5</v>
      </c>
      <c r="G85" s="126">
        <v>4895</v>
      </c>
    </row>
    <row r="86" spans="1:7" ht="15" x14ac:dyDescent="0.25">
      <c r="A86" s="124" t="s">
        <v>739</v>
      </c>
      <c r="B86" s="118">
        <v>2013</v>
      </c>
      <c r="C86" s="118" t="s">
        <v>722</v>
      </c>
      <c r="D86" s="118" t="s">
        <v>725</v>
      </c>
      <c r="E86" s="118" t="s">
        <v>219</v>
      </c>
      <c r="F86" s="125">
        <f t="shared" si="1"/>
        <v>7318.5</v>
      </c>
      <c r="G86" s="126">
        <v>4879</v>
      </c>
    </row>
    <row r="87" spans="1:7" ht="15" x14ac:dyDescent="0.25">
      <c r="A87" s="124" t="s">
        <v>721</v>
      </c>
      <c r="B87" s="118">
        <v>2014</v>
      </c>
      <c r="C87" s="118" t="s">
        <v>722</v>
      </c>
      <c r="D87" s="118" t="s">
        <v>723</v>
      </c>
      <c r="E87" s="118" t="s">
        <v>219</v>
      </c>
      <c r="F87" s="125">
        <f t="shared" si="1"/>
        <v>12269.25</v>
      </c>
      <c r="G87" s="126">
        <v>8179.5</v>
      </c>
    </row>
    <row r="88" spans="1:7" ht="15" x14ac:dyDescent="0.25">
      <c r="A88" s="124" t="s">
        <v>721</v>
      </c>
      <c r="B88" s="118">
        <v>2014</v>
      </c>
      <c r="C88" s="118" t="s">
        <v>724</v>
      </c>
      <c r="D88" s="118" t="s">
        <v>725</v>
      </c>
      <c r="E88" s="118" t="s">
        <v>726</v>
      </c>
      <c r="F88" s="125">
        <f t="shared" si="1"/>
        <v>5845.5</v>
      </c>
      <c r="G88" s="126">
        <v>3897</v>
      </c>
    </row>
    <row r="89" spans="1:7" ht="15" x14ac:dyDescent="0.25">
      <c r="A89" s="124" t="s">
        <v>721</v>
      </c>
      <c r="B89" s="118">
        <v>2014</v>
      </c>
      <c r="C89" s="118" t="s">
        <v>727</v>
      </c>
      <c r="D89" s="118" t="s">
        <v>728</v>
      </c>
      <c r="E89" s="118" t="s">
        <v>726</v>
      </c>
      <c r="F89" s="125">
        <f t="shared" si="1"/>
        <v>18555.75</v>
      </c>
      <c r="G89" s="126">
        <v>12370.5</v>
      </c>
    </row>
    <row r="90" spans="1:7" ht="15" x14ac:dyDescent="0.25">
      <c r="A90" s="124" t="s">
        <v>721</v>
      </c>
      <c r="B90" s="118">
        <v>2014</v>
      </c>
      <c r="C90" s="118" t="s">
        <v>722</v>
      </c>
      <c r="D90" s="118" t="s">
        <v>723</v>
      </c>
      <c r="E90" s="118" t="s">
        <v>726</v>
      </c>
      <c r="F90" s="125">
        <f t="shared" si="1"/>
        <v>16488</v>
      </c>
      <c r="G90" s="126">
        <v>10992</v>
      </c>
    </row>
    <row r="91" spans="1:7" ht="15" x14ac:dyDescent="0.25">
      <c r="A91" s="124" t="s">
        <v>721</v>
      </c>
      <c r="B91" s="118">
        <v>2014</v>
      </c>
      <c r="C91" s="118" t="s">
        <v>729</v>
      </c>
      <c r="D91" s="118" t="s">
        <v>725</v>
      </c>
      <c r="E91" s="118" t="s">
        <v>726</v>
      </c>
      <c r="F91" s="125">
        <f t="shared" si="1"/>
        <v>4626</v>
      </c>
      <c r="G91" s="126">
        <v>3084</v>
      </c>
    </row>
    <row r="92" spans="1:7" ht="15" x14ac:dyDescent="0.25">
      <c r="A92" s="124" t="s">
        <v>731</v>
      </c>
      <c r="B92" s="118">
        <v>2014</v>
      </c>
      <c r="C92" s="118" t="s">
        <v>722</v>
      </c>
      <c r="D92" s="118" t="s">
        <v>728</v>
      </c>
      <c r="E92" s="118" t="s">
        <v>726</v>
      </c>
      <c r="F92" s="125">
        <f t="shared" si="1"/>
        <v>19847.25</v>
      </c>
      <c r="G92" s="126">
        <v>13231.5</v>
      </c>
    </row>
    <row r="93" spans="1:7" ht="15" x14ac:dyDescent="0.25">
      <c r="A93" s="124" t="s">
        <v>731</v>
      </c>
      <c r="B93" s="118">
        <v>2014</v>
      </c>
      <c r="C93" s="118" t="s">
        <v>724</v>
      </c>
      <c r="D93" s="118" t="s">
        <v>723</v>
      </c>
      <c r="E93" s="118" t="s">
        <v>190</v>
      </c>
      <c r="F93" s="125">
        <f t="shared" si="1"/>
        <v>13248</v>
      </c>
      <c r="G93" s="126">
        <v>8832</v>
      </c>
    </row>
    <row r="94" spans="1:7" ht="15" x14ac:dyDescent="0.25">
      <c r="A94" s="124" t="s">
        <v>731</v>
      </c>
      <c r="B94" s="118">
        <v>2014</v>
      </c>
      <c r="C94" s="118" t="s">
        <v>727</v>
      </c>
      <c r="D94" s="118" t="s">
        <v>725</v>
      </c>
      <c r="E94" s="118" t="s">
        <v>219</v>
      </c>
      <c r="F94" s="125">
        <f t="shared" si="1"/>
        <v>5321.25</v>
      </c>
      <c r="G94" s="126">
        <v>3547.5</v>
      </c>
    </row>
    <row r="95" spans="1:7" ht="15" x14ac:dyDescent="0.25">
      <c r="A95" s="124" t="s">
        <v>731</v>
      </c>
      <c r="B95" s="118">
        <v>2014</v>
      </c>
      <c r="C95" s="118" t="s">
        <v>722</v>
      </c>
      <c r="D95" s="118" t="s">
        <v>723</v>
      </c>
      <c r="E95" s="118" t="s">
        <v>190</v>
      </c>
      <c r="F95" s="125">
        <f t="shared" si="1"/>
        <v>20119.5</v>
      </c>
      <c r="G95" s="126">
        <v>13413</v>
      </c>
    </row>
    <row r="96" spans="1:7" ht="15" x14ac:dyDescent="0.25">
      <c r="A96" s="124" t="s">
        <v>731</v>
      </c>
      <c r="B96" s="118">
        <v>2014</v>
      </c>
      <c r="C96" s="118" t="s">
        <v>729</v>
      </c>
      <c r="D96" s="118" t="s">
        <v>723</v>
      </c>
      <c r="E96" s="118" t="s">
        <v>190</v>
      </c>
      <c r="F96" s="125">
        <f t="shared" si="1"/>
        <v>6039</v>
      </c>
      <c r="G96" s="126">
        <v>4026</v>
      </c>
    </row>
    <row r="97" spans="1:7" ht="15" x14ac:dyDescent="0.25">
      <c r="A97" s="124" t="s">
        <v>731</v>
      </c>
      <c r="B97" s="118">
        <v>2014</v>
      </c>
      <c r="C97" s="118" t="s">
        <v>722</v>
      </c>
      <c r="D97" s="118" t="s">
        <v>725</v>
      </c>
      <c r="E97" s="118" t="s">
        <v>190</v>
      </c>
      <c r="F97" s="125">
        <f t="shared" si="1"/>
        <v>4857.75</v>
      </c>
      <c r="G97" s="126">
        <v>3238.5</v>
      </c>
    </row>
    <row r="98" spans="1:7" ht="15" x14ac:dyDescent="0.25">
      <c r="A98" s="124" t="s">
        <v>733</v>
      </c>
      <c r="B98" s="118">
        <v>2014</v>
      </c>
      <c r="C98" s="118" t="s">
        <v>724</v>
      </c>
      <c r="D98" s="118" t="s">
        <v>728</v>
      </c>
      <c r="E98" s="118" t="s">
        <v>726</v>
      </c>
      <c r="F98" s="125">
        <f t="shared" si="1"/>
        <v>21894.75</v>
      </c>
      <c r="G98" s="126">
        <v>14596.5</v>
      </c>
    </row>
    <row r="99" spans="1:7" ht="15" x14ac:dyDescent="0.25">
      <c r="A99" s="124" t="s">
        <v>733</v>
      </c>
      <c r="B99" s="118">
        <v>2014</v>
      </c>
      <c r="C99" s="118" t="s">
        <v>727</v>
      </c>
      <c r="D99" s="118" t="s">
        <v>728</v>
      </c>
      <c r="E99" s="118" t="s">
        <v>726</v>
      </c>
      <c r="F99" s="125">
        <f t="shared" si="1"/>
        <v>13189.5</v>
      </c>
      <c r="G99" s="126">
        <v>8793</v>
      </c>
    </row>
    <row r="100" spans="1:7" ht="15" x14ac:dyDescent="0.25">
      <c r="A100" s="124" t="s">
        <v>733</v>
      </c>
      <c r="B100" s="118">
        <v>2014</v>
      </c>
      <c r="C100" s="118" t="s">
        <v>722</v>
      </c>
      <c r="D100" s="118" t="s">
        <v>723</v>
      </c>
      <c r="E100" s="118" t="s">
        <v>190</v>
      </c>
      <c r="F100" s="125">
        <f t="shared" si="1"/>
        <v>3593.25</v>
      </c>
      <c r="G100" s="126">
        <v>2395.5</v>
      </c>
    </row>
    <row r="101" spans="1:7" ht="15" x14ac:dyDescent="0.25">
      <c r="A101" s="124" t="s">
        <v>733</v>
      </c>
      <c r="B101" s="118">
        <v>2014</v>
      </c>
      <c r="C101" s="118" t="s">
        <v>729</v>
      </c>
      <c r="D101" s="118" t="s">
        <v>725</v>
      </c>
      <c r="E101" s="118" t="s">
        <v>726</v>
      </c>
      <c r="F101" s="125">
        <f t="shared" si="1"/>
        <v>5330.25</v>
      </c>
      <c r="G101" s="126">
        <v>3553.5</v>
      </c>
    </row>
    <row r="102" spans="1:7" ht="15" x14ac:dyDescent="0.25">
      <c r="A102" s="124" t="s">
        <v>733</v>
      </c>
      <c r="B102" s="118">
        <v>2014</v>
      </c>
      <c r="C102" s="118" t="s">
        <v>722</v>
      </c>
      <c r="D102" s="118" t="s">
        <v>723</v>
      </c>
      <c r="E102" s="118" t="s">
        <v>219</v>
      </c>
      <c r="F102" s="125">
        <f t="shared" si="1"/>
        <v>17642.25</v>
      </c>
      <c r="G102" s="126">
        <v>11761.5</v>
      </c>
    </row>
    <row r="103" spans="1:7" ht="15" x14ac:dyDescent="0.25">
      <c r="A103" s="124" t="s">
        <v>733</v>
      </c>
      <c r="B103" s="118">
        <v>2014</v>
      </c>
      <c r="C103" s="118" t="s">
        <v>724</v>
      </c>
      <c r="D103" s="118" t="s">
        <v>723</v>
      </c>
      <c r="E103" s="118" t="s">
        <v>726</v>
      </c>
      <c r="F103" s="125">
        <f t="shared" si="1"/>
        <v>13414.5</v>
      </c>
      <c r="G103" s="126">
        <v>8943</v>
      </c>
    </row>
    <row r="104" spans="1:7" ht="15" x14ac:dyDescent="0.25">
      <c r="A104" s="124" t="s">
        <v>733</v>
      </c>
      <c r="B104" s="118">
        <v>2014</v>
      </c>
      <c r="C104" s="118" t="s">
        <v>727</v>
      </c>
      <c r="D104" s="118" t="s">
        <v>725</v>
      </c>
      <c r="E104" s="118" t="s">
        <v>190</v>
      </c>
      <c r="F104" s="125">
        <f t="shared" si="1"/>
        <v>16683.75</v>
      </c>
      <c r="G104" s="126">
        <v>11122.5</v>
      </c>
    </row>
    <row r="105" spans="1:7" ht="15" x14ac:dyDescent="0.25">
      <c r="A105" s="124" t="s">
        <v>734</v>
      </c>
      <c r="B105" s="118">
        <v>2014</v>
      </c>
      <c r="C105" s="118" t="s">
        <v>722</v>
      </c>
      <c r="D105" s="118" t="s">
        <v>728</v>
      </c>
      <c r="E105" s="118" t="s">
        <v>219</v>
      </c>
      <c r="F105" s="125">
        <f t="shared" si="1"/>
        <v>20142</v>
      </c>
      <c r="G105" s="126">
        <v>13428</v>
      </c>
    </row>
    <row r="106" spans="1:7" ht="15" x14ac:dyDescent="0.25">
      <c r="A106" s="124" t="s">
        <v>734</v>
      </c>
      <c r="B106" s="118">
        <v>2014</v>
      </c>
      <c r="C106" s="118" t="s">
        <v>729</v>
      </c>
      <c r="D106" s="118" t="s">
        <v>728</v>
      </c>
      <c r="E106" s="118" t="s">
        <v>190</v>
      </c>
      <c r="F106" s="125">
        <f t="shared" si="1"/>
        <v>11220.75</v>
      </c>
      <c r="G106" s="126">
        <v>7480.5</v>
      </c>
    </row>
    <row r="107" spans="1:7" ht="15" x14ac:dyDescent="0.25">
      <c r="A107" s="124" t="s">
        <v>734</v>
      </c>
      <c r="B107" s="118">
        <v>2014</v>
      </c>
      <c r="C107" s="118" t="s">
        <v>722</v>
      </c>
      <c r="D107" s="118" t="s">
        <v>723</v>
      </c>
      <c r="E107" s="118" t="s">
        <v>190</v>
      </c>
      <c r="F107" s="125">
        <f t="shared" si="1"/>
        <v>7330.5</v>
      </c>
      <c r="G107" s="126">
        <v>4887</v>
      </c>
    </row>
    <row r="108" spans="1:7" ht="15" x14ac:dyDescent="0.25">
      <c r="A108" s="124" t="s">
        <v>734</v>
      </c>
      <c r="B108" s="118">
        <v>2014</v>
      </c>
      <c r="C108" s="118" t="s">
        <v>724</v>
      </c>
      <c r="D108" s="118" t="s">
        <v>725</v>
      </c>
      <c r="E108" s="118" t="s">
        <v>190</v>
      </c>
      <c r="F108" s="125">
        <f t="shared" si="1"/>
        <v>21971.25</v>
      </c>
      <c r="G108" s="126">
        <v>14647.5</v>
      </c>
    </row>
    <row r="109" spans="1:7" ht="15" x14ac:dyDescent="0.25">
      <c r="A109" s="124" t="s">
        <v>734</v>
      </c>
      <c r="B109" s="118">
        <v>2014</v>
      </c>
      <c r="C109" s="118" t="s">
        <v>727</v>
      </c>
      <c r="D109" s="118" t="s">
        <v>723</v>
      </c>
      <c r="E109" s="118" t="s">
        <v>190</v>
      </c>
      <c r="F109" s="125">
        <f t="shared" si="1"/>
        <v>21928.5</v>
      </c>
      <c r="G109" s="126">
        <v>14619</v>
      </c>
    </row>
    <row r="110" spans="1:7" ht="15" x14ac:dyDescent="0.25">
      <c r="A110" s="124" t="s">
        <v>734</v>
      </c>
      <c r="B110" s="118">
        <v>2014</v>
      </c>
      <c r="C110" s="118" t="s">
        <v>722</v>
      </c>
      <c r="D110" s="118" t="s">
        <v>728</v>
      </c>
      <c r="E110" s="118" t="s">
        <v>219</v>
      </c>
      <c r="F110" s="125">
        <f t="shared" si="1"/>
        <v>8070.75</v>
      </c>
      <c r="G110" s="126">
        <v>5380.5</v>
      </c>
    </row>
    <row r="111" spans="1:7" ht="15" x14ac:dyDescent="0.25">
      <c r="A111" s="124" t="s">
        <v>734</v>
      </c>
      <c r="B111" s="118">
        <v>2014</v>
      </c>
      <c r="C111" s="118" t="s">
        <v>729</v>
      </c>
      <c r="D111" s="118" t="s">
        <v>728</v>
      </c>
      <c r="E111" s="118" t="s">
        <v>190</v>
      </c>
      <c r="F111" s="125">
        <f t="shared" si="1"/>
        <v>21669.75</v>
      </c>
      <c r="G111" s="126">
        <v>14446.5</v>
      </c>
    </row>
    <row r="112" spans="1:7" ht="15" x14ac:dyDescent="0.25">
      <c r="A112" s="124" t="s">
        <v>734</v>
      </c>
      <c r="B112" s="118">
        <v>2014</v>
      </c>
      <c r="C112" s="118" t="s">
        <v>722</v>
      </c>
      <c r="D112" s="118" t="s">
        <v>723</v>
      </c>
      <c r="E112" s="118" t="s">
        <v>190</v>
      </c>
      <c r="F112" s="125">
        <f t="shared" si="1"/>
        <v>1300.5</v>
      </c>
      <c r="G112" s="126">
        <v>867</v>
      </c>
    </row>
    <row r="113" spans="1:7" ht="15" x14ac:dyDescent="0.25">
      <c r="A113" s="124" t="s">
        <v>618</v>
      </c>
      <c r="B113" s="118">
        <v>2014</v>
      </c>
      <c r="C113" s="118" t="s">
        <v>724</v>
      </c>
      <c r="D113" s="118" t="s">
        <v>725</v>
      </c>
      <c r="E113" s="118" t="s">
        <v>219</v>
      </c>
      <c r="F113" s="125">
        <f t="shared" si="1"/>
        <v>2247.75</v>
      </c>
      <c r="G113" s="126">
        <v>1498.5</v>
      </c>
    </row>
    <row r="114" spans="1:7" ht="15" x14ac:dyDescent="0.25">
      <c r="A114" s="124" t="s">
        <v>618</v>
      </c>
      <c r="B114" s="118">
        <v>2014</v>
      </c>
      <c r="C114" s="118" t="s">
        <v>727</v>
      </c>
      <c r="D114" s="118" t="s">
        <v>725</v>
      </c>
      <c r="E114" s="118" t="s">
        <v>219</v>
      </c>
      <c r="F114" s="125">
        <f t="shared" si="1"/>
        <v>353.25</v>
      </c>
      <c r="G114" s="126">
        <v>235.5</v>
      </c>
    </row>
    <row r="115" spans="1:7" ht="15" x14ac:dyDescent="0.25">
      <c r="A115" s="124" t="s">
        <v>618</v>
      </c>
      <c r="B115" s="118">
        <v>2014</v>
      </c>
      <c r="C115" s="118" t="s">
        <v>722</v>
      </c>
      <c r="D115" s="118" t="s">
        <v>725</v>
      </c>
      <c r="E115" s="118" t="s">
        <v>219</v>
      </c>
      <c r="F115" s="125">
        <f t="shared" si="1"/>
        <v>17757</v>
      </c>
      <c r="G115" s="126">
        <v>11838</v>
      </c>
    </row>
    <row r="116" spans="1:7" ht="15" x14ac:dyDescent="0.25">
      <c r="A116" s="124" t="s">
        <v>618</v>
      </c>
      <c r="B116" s="118">
        <v>2014</v>
      </c>
      <c r="C116" s="118" t="s">
        <v>729</v>
      </c>
      <c r="D116" s="118" t="s">
        <v>723</v>
      </c>
      <c r="E116" s="118" t="s">
        <v>190</v>
      </c>
      <c r="F116" s="125">
        <f t="shared" si="1"/>
        <v>3550.5</v>
      </c>
      <c r="G116" s="126">
        <v>2367</v>
      </c>
    </row>
    <row r="117" spans="1:7" ht="15" x14ac:dyDescent="0.25">
      <c r="A117" s="124" t="s">
        <v>618</v>
      </c>
      <c r="B117" s="118">
        <v>2014</v>
      </c>
      <c r="C117" s="118" t="s">
        <v>722</v>
      </c>
      <c r="D117" s="118" t="s">
        <v>728</v>
      </c>
      <c r="E117" s="118" t="s">
        <v>726</v>
      </c>
      <c r="F117" s="125">
        <f t="shared" si="1"/>
        <v>10545.75</v>
      </c>
      <c r="G117" s="126">
        <v>7030.5</v>
      </c>
    </row>
    <row r="118" spans="1:7" ht="15" x14ac:dyDescent="0.25">
      <c r="A118" s="124" t="s">
        <v>618</v>
      </c>
      <c r="B118" s="118">
        <v>2014</v>
      </c>
      <c r="C118" s="118" t="s">
        <v>724</v>
      </c>
      <c r="D118" s="118" t="s">
        <v>728</v>
      </c>
      <c r="E118" s="118" t="s">
        <v>726</v>
      </c>
      <c r="F118" s="125">
        <f t="shared" si="1"/>
        <v>3069</v>
      </c>
      <c r="G118" s="126">
        <v>2046</v>
      </c>
    </row>
    <row r="119" spans="1:7" ht="15" x14ac:dyDescent="0.25">
      <c r="A119" s="124" t="s">
        <v>618</v>
      </c>
      <c r="B119" s="118">
        <v>2014</v>
      </c>
      <c r="C119" s="118" t="s">
        <v>727</v>
      </c>
      <c r="D119" s="118" t="s">
        <v>723</v>
      </c>
      <c r="E119" s="118" t="s">
        <v>726</v>
      </c>
      <c r="F119" s="125">
        <f t="shared" si="1"/>
        <v>10320.75</v>
      </c>
      <c r="G119" s="126">
        <v>6880.5</v>
      </c>
    </row>
    <row r="120" spans="1:7" ht="15" x14ac:dyDescent="0.25">
      <c r="A120" s="124" t="s">
        <v>618</v>
      </c>
      <c r="B120" s="118">
        <v>2014</v>
      </c>
      <c r="C120" s="118" t="s">
        <v>722</v>
      </c>
      <c r="D120" s="118" t="s">
        <v>725</v>
      </c>
      <c r="E120" s="118" t="s">
        <v>219</v>
      </c>
      <c r="F120" s="125">
        <f t="shared" si="1"/>
        <v>17968.5</v>
      </c>
      <c r="G120" s="126">
        <v>11979</v>
      </c>
    </row>
    <row r="121" spans="1:7" ht="15" x14ac:dyDescent="0.25">
      <c r="A121" s="124" t="s">
        <v>618</v>
      </c>
      <c r="B121" s="118">
        <v>2014</v>
      </c>
      <c r="C121" s="118" t="s">
        <v>729</v>
      </c>
      <c r="D121" s="118" t="s">
        <v>725</v>
      </c>
      <c r="E121" s="118" t="s">
        <v>219</v>
      </c>
      <c r="F121" s="125">
        <f t="shared" si="1"/>
        <v>11016</v>
      </c>
      <c r="G121" s="126">
        <v>7344</v>
      </c>
    </row>
    <row r="122" spans="1:7" ht="15" x14ac:dyDescent="0.25">
      <c r="A122" s="124" t="s">
        <v>618</v>
      </c>
      <c r="B122" s="118">
        <v>2014</v>
      </c>
      <c r="C122" s="118" t="s">
        <v>722</v>
      </c>
      <c r="D122" s="118" t="s">
        <v>725</v>
      </c>
      <c r="E122" s="118" t="s">
        <v>219</v>
      </c>
      <c r="F122" s="125">
        <f t="shared" si="1"/>
        <v>10320.75</v>
      </c>
      <c r="G122" s="126">
        <v>6880.5</v>
      </c>
    </row>
    <row r="123" spans="1:7" ht="15" x14ac:dyDescent="0.25">
      <c r="A123" s="124" t="s">
        <v>618</v>
      </c>
      <c r="B123" s="118">
        <v>2014</v>
      </c>
      <c r="C123" s="118" t="s">
        <v>724</v>
      </c>
      <c r="D123" s="118" t="s">
        <v>723</v>
      </c>
      <c r="E123" s="118" t="s">
        <v>219</v>
      </c>
      <c r="F123" s="125">
        <f t="shared" si="1"/>
        <v>1120.5</v>
      </c>
      <c r="G123" s="126">
        <v>747</v>
      </c>
    </row>
    <row r="124" spans="1:7" ht="15" x14ac:dyDescent="0.25">
      <c r="A124" s="124" t="s">
        <v>618</v>
      </c>
      <c r="B124" s="118">
        <v>2014</v>
      </c>
      <c r="C124" s="118" t="s">
        <v>727</v>
      </c>
      <c r="D124" s="118" t="s">
        <v>728</v>
      </c>
      <c r="E124" s="118" t="s">
        <v>219</v>
      </c>
      <c r="F124" s="125">
        <f t="shared" si="1"/>
        <v>10320.75</v>
      </c>
      <c r="G124" s="126">
        <v>6880.5</v>
      </c>
    </row>
    <row r="125" spans="1:7" ht="15" x14ac:dyDescent="0.25">
      <c r="A125" s="124" t="s">
        <v>618</v>
      </c>
      <c r="B125" s="118">
        <v>2014</v>
      </c>
      <c r="C125" s="118" t="s">
        <v>722</v>
      </c>
      <c r="D125" s="118" t="s">
        <v>728</v>
      </c>
      <c r="E125" s="118" t="s">
        <v>190</v>
      </c>
      <c r="F125" s="125">
        <f t="shared" si="1"/>
        <v>14229</v>
      </c>
      <c r="G125" s="126">
        <v>9486</v>
      </c>
    </row>
    <row r="126" spans="1:7" ht="15" x14ac:dyDescent="0.25">
      <c r="A126" s="124" t="s">
        <v>619</v>
      </c>
      <c r="B126" s="118">
        <v>2014</v>
      </c>
      <c r="C126" s="118" t="s">
        <v>729</v>
      </c>
      <c r="D126" s="118" t="s">
        <v>723</v>
      </c>
      <c r="E126" s="118" t="s">
        <v>190</v>
      </c>
      <c r="F126" s="125">
        <f t="shared" si="1"/>
        <v>11013.75</v>
      </c>
      <c r="G126" s="126">
        <v>7342.5</v>
      </c>
    </row>
    <row r="127" spans="1:7" ht="15" x14ac:dyDescent="0.25">
      <c r="A127" s="124" t="s">
        <v>619</v>
      </c>
      <c r="B127" s="118">
        <v>2014</v>
      </c>
      <c r="C127" s="118" t="s">
        <v>722</v>
      </c>
      <c r="D127" s="118" t="s">
        <v>725</v>
      </c>
      <c r="E127" s="118" t="s">
        <v>219</v>
      </c>
      <c r="F127" s="125">
        <f t="shared" si="1"/>
        <v>10977.75</v>
      </c>
      <c r="G127" s="126">
        <v>7318.5</v>
      </c>
    </row>
    <row r="128" spans="1:7" ht="15" x14ac:dyDescent="0.25">
      <c r="A128" s="124" t="s">
        <v>619</v>
      </c>
      <c r="B128" s="118">
        <v>2014</v>
      </c>
      <c r="C128" s="118" t="s">
        <v>722</v>
      </c>
      <c r="D128" s="118" t="s">
        <v>723</v>
      </c>
      <c r="E128" s="118" t="s">
        <v>219</v>
      </c>
      <c r="F128" s="125">
        <f t="shared" si="1"/>
        <v>12651.75</v>
      </c>
      <c r="G128" s="126">
        <v>8434.5</v>
      </c>
    </row>
    <row r="129" spans="1:7" ht="15" x14ac:dyDescent="0.25">
      <c r="A129" s="124" t="s">
        <v>619</v>
      </c>
      <c r="B129" s="118">
        <v>2014</v>
      </c>
      <c r="C129" s="118" t="s">
        <v>724</v>
      </c>
      <c r="D129" s="118" t="s">
        <v>725</v>
      </c>
      <c r="E129" s="118" t="s">
        <v>726</v>
      </c>
      <c r="F129" s="125">
        <f t="shared" si="1"/>
        <v>5845.5</v>
      </c>
      <c r="G129" s="126">
        <v>3897</v>
      </c>
    </row>
    <row r="130" spans="1:7" ht="15" x14ac:dyDescent="0.25">
      <c r="A130" s="124" t="s">
        <v>619</v>
      </c>
      <c r="B130" s="118">
        <v>2014</v>
      </c>
      <c r="C130" s="118" t="s">
        <v>727</v>
      </c>
      <c r="D130" s="118" t="s">
        <v>728</v>
      </c>
      <c r="E130" s="118" t="s">
        <v>726</v>
      </c>
      <c r="F130" s="125">
        <f t="shared" si="1"/>
        <v>18555.75</v>
      </c>
      <c r="G130" s="126">
        <v>12370.5</v>
      </c>
    </row>
    <row r="131" spans="1:7" ht="15" x14ac:dyDescent="0.25">
      <c r="A131" s="124" t="s">
        <v>619</v>
      </c>
      <c r="B131" s="118">
        <v>2014</v>
      </c>
      <c r="C131" s="118" t="s">
        <v>722</v>
      </c>
      <c r="D131" s="118" t="s">
        <v>723</v>
      </c>
      <c r="E131" s="118" t="s">
        <v>726</v>
      </c>
      <c r="F131" s="125">
        <f t="shared" si="1"/>
        <v>16488</v>
      </c>
      <c r="G131" s="126">
        <v>10992</v>
      </c>
    </row>
    <row r="132" spans="1:7" ht="15" x14ac:dyDescent="0.25">
      <c r="A132" s="124" t="s">
        <v>619</v>
      </c>
      <c r="B132" s="118">
        <v>2014</v>
      </c>
      <c r="C132" s="118" t="s">
        <v>729</v>
      </c>
      <c r="D132" s="118" t="s">
        <v>725</v>
      </c>
      <c r="E132" s="118" t="s">
        <v>726</v>
      </c>
      <c r="F132" s="125">
        <f t="shared" si="1"/>
        <v>4626</v>
      </c>
      <c r="G132" s="126">
        <v>3084</v>
      </c>
    </row>
    <row r="133" spans="1:7" ht="15" x14ac:dyDescent="0.25">
      <c r="A133" s="124" t="s">
        <v>620</v>
      </c>
      <c r="B133" s="118">
        <v>2014</v>
      </c>
      <c r="C133" s="118" t="s">
        <v>722</v>
      </c>
      <c r="D133" s="118" t="s">
        <v>728</v>
      </c>
      <c r="E133" s="118" t="s">
        <v>726</v>
      </c>
      <c r="F133" s="125">
        <f t="shared" ref="F133:F164" si="2">G133*1.5</f>
        <v>19847.25</v>
      </c>
      <c r="G133" s="126">
        <v>13231.5</v>
      </c>
    </row>
    <row r="134" spans="1:7" ht="15" x14ac:dyDescent="0.25">
      <c r="A134" s="124" t="s">
        <v>620</v>
      </c>
      <c r="B134" s="118">
        <v>2014</v>
      </c>
      <c r="C134" s="118" t="s">
        <v>724</v>
      </c>
      <c r="D134" s="118" t="s">
        <v>723</v>
      </c>
      <c r="E134" s="118" t="s">
        <v>190</v>
      </c>
      <c r="F134" s="125">
        <f t="shared" si="2"/>
        <v>13248</v>
      </c>
      <c r="G134" s="126">
        <v>8832</v>
      </c>
    </row>
    <row r="135" spans="1:7" ht="15" x14ac:dyDescent="0.25">
      <c r="A135" s="124" t="s">
        <v>620</v>
      </c>
      <c r="B135" s="118">
        <v>2014</v>
      </c>
      <c r="C135" s="118" t="s">
        <v>727</v>
      </c>
      <c r="D135" s="118" t="s">
        <v>725</v>
      </c>
      <c r="E135" s="118" t="s">
        <v>219</v>
      </c>
      <c r="F135" s="125">
        <f t="shared" si="2"/>
        <v>5321.25</v>
      </c>
      <c r="G135" s="126">
        <v>3547.5</v>
      </c>
    </row>
    <row r="136" spans="1:7" ht="15" x14ac:dyDescent="0.25">
      <c r="A136" s="124" t="s">
        <v>620</v>
      </c>
      <c r="B136" s="118">
        <v>2014</v>
      </c>
      <c r="C136" s="118" t="s">
        <v>722</v>
      </c>
      <c r="D136" s="118" t="s">
        <v>723</v>
      </c>
      <c r="E136" s="118" t="s">
        <v>190</v>
      </c>
      <c r="F136" s="125">
        <f t="shared" si="2"/>
        <v>20119.5</v>
      </c>
      <c r="G136" s="126">
        <v>13413</v>
      </c>
    </row>
    <row r="137" spans="1:7" ht="15" x14ac:dyDescent="0.25">
      <c r="A137" s="124" t="s">
        <v>620</v>
      </c>
      <c r="B137" s="118">
        <v>2014</v>
      </c>
      <c r="C137" s="118" t="s">
        <v>729</v>
      </c>
      <c r="D137" s="118" t="s">
        <v>723</v>
      </c>
      <c r="E137" s="118" t="s">
        <v>190</v>
      </c>
      <c r="F137" s="125">
        <f t="shared" si="2"/>
        <v>6039</v>
      </c>
      <c r="G137" s="126">
        <v>4026</v>
      </c>
    </row>
    <row r="138" spans="1:7" ht="15" x14ac:dyDescent="0.25">
      <c r="A138" s="124" t="s">
        <v>620</v>
      </c>
      <c r="B138" s="118">
        <v>2014</v>
      </c>
      <c r="C138" s="118" t="s">
        <v>722</v>
      </c>
      <c r="D138" s="118" t="s">
        <v>725</v>
      </c>
      <c r="E138" s="118" t="s">
        <v>190</v>
      </c>
      <c r="F138" s="125">
        <f t="shared" si="2"/>
        <v>4857.75</v>
      </c>
      <c r="G138" s="126">
        <v>3238.5</v>
      </c>
    </row>
    <row r="139" spans="1:7" ht="15" x14ac:dyDescent="0.25">
      <c r="A139" s="124" t="s">
        <v>620</v>
      </c>
      <c r="B139" s="118">
        <v>2014</v>
      </c>
      <c r="C139" s="118" t="s">
        <v>724</v>
      </c>
      <c r="D139" s="118" t="s">
        <v>728</v>
      </c>
      <c r="E139" s="118" t="s">
        <v>726</v>
      </c>
      <c r="F139" s="125">
        <f t="shared" si="2"/>
        <v>21894.75</v>
      </c>
      <c r="G139" s="126">
        <v>14596.5</v>
      </c>
    </row>
    <row r="140" spans="1:7" ht="15" x14ac:dyDescent="0.25">
      <c r="A140" s="124" t="s">
        <v>735</v>
      </c>
      <c r="B140" s="118">
        <v>2014</v>
      </c>
      <c r="C140" s="118" t="s">
        <v>727</v>
      </c>
      <c r="D140" s="118" t="s">
        <v>728</v>
      </c>
      <c r="E140" s="118" t="s">
        <v>726</v>
      </c>
      <c r="F140" s="125">
        <f t="shared" si="2"/>
        <v>13189.5</v>
      </c>
      <c r="G140" s="126">
        <v>8793</v>
      </c>
    </row>
    <row r="141" spans="1:7" ht="15" x14ac:dyDescent="0.25">
      <c r="A141" s="124" t="s">
        <v>735</v>
      </c>
      <c r="B141" s="118">
        <v>2014</v>
      </c>
      <c r="C141" s="118" t="s">
        <v>722</v>
      </c>
      <c r="D141" s="118" t="s">
        <v>723</v>
      </c>
      <c r="E141" s="118" t="s">
        <v>190</v>
      </c>
      <c r="F141" s="125">
        <f t="shared" si="2"/>
        <v>3593.25</v>
      </c>
      <c r="G141" s="126">
        <v>2395.5</v>
      </c>
    </row>
    <row r="142" spans="1:7" ht="15" x14ac:dyDescent="0.25">
      <c r="A142" s="124" t="s">
        <v>735</v>
      </c>
      <c r="B142" s="118">
        <v>2014</v>
      </c>
      <c r="C142" s="118" t="s">
        <v>729</v>
      </c>
      <c r="D142" s="118" t="s">
        <v>725</v>
      </c>
      <c r="E142" s="118" t="s">
        <v>726</v>
      </c>
      <c r="F142" s="125">
        <f t="shared" si="2"/>
        <v>5330.25</v>
      </c>
      <c r="G142" s="126">
        <v>3553.5</v>
      </c>
    </row>
    <row r="143" spans="1:7" ht="15" x14ac:dyDescent="0.25">
      <c r="A143" s="124" t="s">
        <v>735</v>
      </c>
      <c r="B143" s="118">
        <v>2014</v>
      </c>
      <c r="C143" s="118" t="s">
        <v>722</v>
      </c>
      <c r="D143" s="118" t="s">
        <v>723</v>
      </c>
      <c r="E143" s="118" t="s">
        <v>219</v>
      </c>
      <c r="F143" s="125">
        <f t="shared" si="2"/>
        <v>17642.25</v>
      </c>
      <c r="G143" s="126">
        <v>11761.5</v>
      </c>
    </row>
    <row r="144" spans="1:7" ht="15" x14ac:dyDescent="0.25">
      <c r="A144" s="124" t="s">
        <v>735</v>
      </c>
      <c r="B144" s="118">
        <v>2014</v>
      </c>
      <c r="C144" s="118" t="s">
        <v>724</v>
      </c>
      <c r="D144" s="118" t="s">
        <v>723</v>
      </c>
      <c r="E144" s="118" t="s">
        <v>726</v>
      </c>
      <c r="F144" s="125">
        <f t="shared" si="2"/>
        <v>13414.5</v>
      </c>
      <c r="G144" s="126">
        <v>8943</v>
      </c>
    </row>
    <row r="145" spans="1:7" ht="15" x14ac:dyDescent="0.25">
      <c r="A145" s="124" t="s">
        <v>735</v>
      </c>
      <c r="B145" s="118">
        <v>2014</v>
      </c>
      <c r="C145" s="118" t="s">
        <v>727</v>
      </c>
      <c r="D145" s="118" t="s">
        <v>725</v>
      </c>
      <c r="E145" s="118" t="s">
        <v>190</v>
      </c>
      <c r="F145" s="125">
        <f t="shared" si="2"/>
        <v>16683.75</v>
      </c>
      <c r="G145" s="126">
        <v>11122.5</v>
      </c>
    </row>
    <row r="146" spans="1:7" ht="15" x14ac:dyDescent="0.25">
      <c r="A146" s="124" t="s">
        <v>735</v>
      </c>
      <c r="B146" s="118">
        <v>2014</v>
      </c>
      <c r="C146" s="118" t="s">
        <v>722</v>
      </c>
      <c r="D146" s="118" t="s">
        <v>728</v>
      </c>
      <c r="E146" s="118" t="s">
        <v>219</v>
      </c>
      <c r="F146" s="125">
        <f t="shared" si="2"/>
        <v>20142</v>
      </c>
      <c r="G146" s="126">
        <v>13428</v>
      </c>
    </row>
    <row r="147" spans="1:7" ht="15" x14ac:dyDescent="0.25">
      <c r="A147" s="124" t="s">
        <v>735</v>
      </c>
      <c r="B147" s="118">
        <v>2014</v>
      </c>
      <c r="C147" s="118" t="s">
        <v>729</v>
      </c>
      <c r="D147" s="118" t="s">
        <v>728</v>
      </c>
      <c r="E147" s="118" t="s">
        <v>190</v>
      </c>
      <c r="F147" s="125">
        <f t="shared" si="2"/>
        <v>11220.75</v>
      </c>
      <c r="G147" s="126">
        <v>7480.5</v>
      </c>
    </row>
    <row r="148" spans="1:7" ht="15" x14ac:dyDescent="0.25">
      <c r="A148" s="124" t="s">
        <v>736</v>
      </c>
      <c r="B148" s="118">
        <v>2014</v>
      </c>
      <c r="C148" s="118" t="s">
        <v>722</v>
      </c>
      <c r="D148" s="118" t="s">
        <v>723</v>
      </c>
      <c r="E148" s="118" t="s">
        <v>190</v>
      </c>
      <c r="F148" s="125">
        <f t="shared" si="2"/>
        <v>7330.5</v>
      </c>
      <c r="G148" s="126">
        <v>4887</v>
      </c>
    </row>
    <row r="149" spans="1:7" ht="15" x14ac:dyDescent="0.25">
      <c r="A149" s="124" t="s">
        <v>736</v>
      </c>
      <c r="B149" s="118">
        <v>2014</v>
      </c>
      <c r="C149" s="118" t="s">
        <v>724</v>
      </c>
      <c r="D149" s="118" t="s">
        <v>725</v>
      </c>
      <c r="E149" s="118" t="s">
        <v>190</v>
      </c>
      <c r="F149" s="125">
        <f t="shared" si="2"/>
        <v>21971.25</v>
      </c>
      <c r="G149" s="126">
        <v>14647.5</v>
      </c>
    </row>
    <row r="150" spans="1:7" ht="15" x14ac:dyDescent="0.25">
      <c r="A150" s="124" t="s">
        <v>736</v>
      </c>
      <c r="B150" s="118">
        <v>2014</v>
      </c>
      <c r="C150" s="118" t="s">
        <v>727</v>
      </c>
      <c r="D150" s="118" t="s">
        <v>723</v>
      </c>
      <c r="E150" s="118" t="s">
        <v>190</v>
      </c>
      <c r="F150" s="125">
        <f t="shared" si="2"/>
        <v>21928.5</v>
      </c>
      <c r="G150" s="126">
        <v>14619</v>
      </c>
    </row>
    <row r="151" spans="1:7" ht="15" x14ac:dyDescent="0.25">
      <c r="A151" s="124" t="s">
        <v>736</v>
      </c>
      <c r="B151" s="118">
        <v>2014</v>
      </c>
      <c r="C151" s="118" t="s">
        <v>722</v>
      </c>
      <c r="D151" s="118" t="s">
        <v>728</v>
      </c>
      <c r="E151" s="118" t="s">
        <v>219</v>
      </c>
      <c r="F151" s="125">
        <f t="shared" si="2"/>
        <v>8070.75</v>
      </c>
      <c r="G151" s="126">
        <v>5380.5</v>
      </c>
    </row>
    <row r="152" spans="1:7" ht="15" x14ac:dyDescent="0.25">
      <c r="A152" s="124" t="s">
        <v>736</v>
      </c>
      <c r="B152" s="118">
        <v>2014</v>
      </c>
      <c r="C152" s="118" t="s">
        <v>729</v>
      </c>
      <c r="D152" s="118" t="s">
        <v>728</v>
      </c>
      <c r="E152" s="118" t="s">
        <v>190</v>
      </c>
      <c r="F152" s="125">
        <f t="shared" si="2"/>
        <v>21669.75</v>
      </c>
      <c r="G152" s="126">
        <v>14446.5</v>
      </c>
    </row>
    <row r="153" spans="1:7" ht="15" x14ac:dyDescent="0.25">
      <c r="A153" s="124" t="s">
        <v>736</v>
      </c>
      <c r="B153" s="118">
        <v>2014</v>
      </c>
      <c r="C153" s="118" t="s">
        <v>722</v>
      </c>
      <c r="D153" s="118" t="s">
        <v>723</v>
      </c>
      <c r="E153" s="118" t="s">
        <v>190</v>
      </c>
      <c r="F153" s="125">
        <f t="shared" si="2"/>
        <v>1300.5</v>
      </c>
      <c r="G153" s="126">
        <v>867</v>
      </c>
    </row>
    <row r="154" spans="1:7" ht="15" x14ac:dyDescent="0.25">
      <c r="A154" s="124" t="s">
        <v>737</v>
      </c>
      <c r="B154" s="118">
        <v>2014</v>
      </c>
      <c r="C154" s="118" t="s">
        <v>724</v>
      </c>
      <c r="D154" s="118" t="s">
        <v>725</v>
      </c>
      <c r="E154" s="118" t="s">
        <v>219</v>
      </c>
      <c r="F154" s="125">
        <f t="shared" si="2"/>
        <v>2247.75</v>
      </c>
      <c r="G154" s="126">
        <v>1498.5</v>
      </c>
    </row>
    <row r="155" spans="1:7" ht="15" x14ac:dyDescent="0.25">
      <c r="A155" s="124" t="s">
        <v>737</v>
      </c>
      <c r="B155" s="118">
        <v>2014</v>
      </c>
      <c r="C155" s="118" t="s">
        <v>727</v>
      </c>
      <c r="D155" s="118" t="s">
        <v>725</v>
      </c>
      <c r="E155" s="118" t="s">
        <v>219</v>
      </c>
      <c r="F155" s="125">
        <f t="shared" si="2"/>
        <v>353.25</v>
      </c>
      <c r="G155" s="126">
        <v>235.5</v>
      </c>
    </row>
    <row r="156" spans="1:7" ht="15" x14ac:dyDescent="0.25">
      <c r="A156" s="124" t="s">
        <v>737</v>
      </c>
      <c r="B156" s="118">
        <v>2014</v>
      </c>
      <c r="C156" s="118" t="s">
        <v>722</v>
      </c>
      <c r="D156" s="118" t="s">
        <v>725</v>
      </c>
      <c r="E156" s="118" t="s">
        <v>219</v>
      </c>
      <c r="F156" s="125">
        <f t="shared" si="2"/>
        <v>17757</v>
      </c>
      <c r="G156" s="126">
        <v>11838</v>
      </c>
    </row>
    <row r="157" spans="1:7" ht="15" x14ac:dyDescent="0.25">
      <c r="A157" s="124" t="s">
        <v>737</v>
      </c>
      <c r="B157" s="118">
        <v>2014</v>
      </c>
      <c r="C157" s="118" t="s">
        <v>729</v>
      </c>
      <c r="D157" s="118" t="s">
        <v>723</v>
      </c>
      <c r="E157" s="118" t="s">
        <v>190</v>
      </c>
      <c r="F157" s="125">
        <f t="shared" si="2"/>
        <v>3550.5</v>
      </c>
      <c r="G157" s="126">
        <v>2367</v>
      </c>
    </row>
    <row r="158" spans="1:7" ht="15" x14ac:dyDescent="0.25">
      <c r="A158" s="124" t="s">
        <v>737</v>
      </c>
      <c r="B158" s="118">
        <v>2014</v>
      </c>
      <c r="C158" s="118" t="s">
        <v>722</v>
      </c>
      <c r="D158" s="118" t="s">
        <v>728</v>
      </c>
      <c r="E158" s="118" t="s">
        <v>726</v>
      </c>
      <c r="F158" s="125">
        <f t="shared" si="2"/>
        <v>10545.75</v>
      </c>
      <c r="G158" s="126">
        <v>7030.5</v>
      </c>
    </row>
    <row r="159" spans="1:7" ht="15" x14ac:dyDescent="0.25">
      <c r="A159" s="124" t="s">
        <v>737</v>
      </c>
      <c r="B159" s="118">
        <v>2014</v>
      </c>
      <c r="C159" s="118" t="s">
        <v>724</v>
      </c>
      <c r="D159" s="118" t="s">
        <v>728</v>
      </c>
      <c r="E159" s="118" t="s">
        <v>726</v>
      </c>
      <c r="F159" s="125">
        <f t="shared" si="2"/>
        <v>3069</v>
      </c>
      <c r="G159" s="126">
        <v>2046</v>
      </c>
    </row>
    <row r="160" spans="1:7" ht="15" x14ac:dyDescent="0.25">
      <c r="A160" s="124" t="s">
        <v>738</v>
      </c>
      <c r="B160" s="118">
        <v>2014</v>
      </c>
      <c r="C160" s="118" t="s">
        <v>727</v>
      </c>
      <c r="D160" s="118" t="s">
        <v>723</v>
      </c>
      <c r="E160" s="118" t="s">
        <v>726</v>
      </c>
      <c r="F160" s="125">
        <f t="shared" si="2"/>
        <v>10320.75</v>
      </c>
      <c r="G160" s="126">
        <v>6880.5</v>
      </c>
    </row>
    <row r="161" spans="1:7" ht="15" x14ac:dyDescent="0.25">
      <c r="A161" s="124" t="s">
        <v>738</v>
      </c>
      <c r="B161" s="118">
        <v>2014</v>
      </c>
      <c r="C161" s="118" t="s">
        <v>722</v>
      </c>
      <c r="D161" s="118" t="s">
        <v>725</v>
      </c>
      <c r="E161" s="118" t="s">
        <v>219</v>
      </c>
      <c r="F161" s="125">
        <f t="shared" si="2"/>
        <v>17968.5</v>
      </c>
      <c r="G161" s="126">
        <v>11979</v>
      </c>
    </row>
    <row r="162" spans="1:7" ht="15" x14ac:dyDescent="0.25">
      <c r="A162" s="124" t="s">
        <v>738</v>
      </c>
      <c r="B162" s="118">
        <v>2014</v>
      </c>
      <c r="C162" s="118" t="s">
        <v>729</v>
      </c>
      <c r="D162" s="118" t="s">
        <v>725</v>
      </c>
      <c r="E162" s="118" t="s">
        <v>219</v>
      </c>
      <c r="F162" s="125">
        <f t="shared" si="2"/>
        <v>11016</v>
      </c>
      <c r="G162" s="126">
        <v>7344</v>
      </c>
    </row>
    <row r="163" spans="1:7" ht="15" x14ac:dyDescent="0.25">
      <c r="A163" s="124" t="s">
        <v>738</v>
      </c>
      <c r="B163" s="118">
        <v>2014</v>
      </c>
      <c r="C163" s="118" t="s">
        <v>722</v>
      </c>
      <c r="D163" s="118" t="s">
        <v>725</v>
      </c>
      <c r="E163" s="118" t="s">
        <v>219</v>
      </c>
      <c r="F163" s="125">
        <f t="shared" si="2"/>
        <v>10320.75</v>
      </c>
      <c r="G163" s="126">
        <v>6880.5</v>
      </c>
    </row>
    <row r="164" spans="1:7" ht="15" x14ac:dyDescent="0.25">
      <c r="A164" s="124" t="s">
        <v>738</v>
      </c>
      <c r="B164" s="118">
        <v>2014</v>
      </c>
      <c r="C164" s="118" t="s">
        <v>724</v>
      </c>
      <c r="D164" s="118" t="s">
        <v>723</v>
      </c>
      <c r="E164" s="118" t="s">
        <v>219</v>
      </c>
      <c r="F164" s="125">
        <f t="shared" si="2"/>
        <v>1120.5</v>
      </c>
      <c r="G164" s="126">
        <v>747</v>
      </c>
    </row>
    <row r="165" spans="1:7" ht="15" x14ac:dyDescent="0.25">
      <c r="A165" s="124" t="s">
        <v>739</v>
      </c>
      <c r="B165" s="118">
        <v>2014</v>
      </c>
      <c r="C165" s="118" t="s">
        <v>727</v>
      </c>
      <c r="D165" s="118" t="s">
        <v>728</v>
      </c>
      <c r="E165" s="118" t="s">
        <v>219</v>
      </c>
      <c r="F165" s="125">
        <f>G165*1.5</f>
        <v>10320.75</v>
      </c>
      <c r="G165" s="126">
        <v>6880.5</v>
      </c>
    </row>
    <row r="166" spans="1:7" ht="15" x14ac:dyDescent="0.25">
      <c r="A166" s="124" t="s">
        <v>739</v>
      </c>
      <c r="B166" s="118">
        <v>2014</v>
      </c>
      <c r="C166" s="118" t="s">
        <v>722</v>
      </c>
      <c r="D166" s="118" t="s">
        <v>728</v>
      </c>
      <c r="E166" s="118" t="s">
        <v>190</v>
      </c>
      <c r="F166" s="125">
        <f>G166*1.5</f>
        <v>14229</v>
      </c>
      <c r="G166" s="126">
        <v>9486</v>
      </c>
    </row>
    <row r="167" spans="1:7" ht="15" x14ac:dyDescent="0.25">
      <c r="A167" s="124" t="s">
        <v>739</v>
      </c>
      <c r="B167" s="118">
        <v>2014</v>
      </c>
      <c r="C167" s="118" t="s">
        <v>729</v>
      </c>
      <c r="D167" s="118" t="s">
        <v>723</v>
      </c>
      <c r="E167" s="118" t="s">
        <v>190</v>
      </c>
      <c r="F167" s="125">
        <f>G167*1.5</f>
        <v>11013.75</v>
      </c>
      <c r="G167" s="126">
        <v>7342.5</v>
      </c>
    </row>
    <row r="168" spans="1:7" ht="15" x14ac:dyDescent="0.25">
      <c r="A168" s="124" t="s">
        <v>739</v>
      </c>
      <c r="B168" s="118">
        <v>2014</v>
      </c>
      <c r="C168" s="118" t="s">
        <v>722</v>
      </c>
      <c r="D168" s="118" t="s">
        <v>725</v>
      </c>
      <c r="E168" s="118" t="s">
        <v>219</v>
      </c>
      <c r="F168" s="125">
        <f>G168*1.5</f>
        <v>10977.75</v>
      </c>
      <c r="G168" s="126">
        <v>7318.5</v>
      </c>
    </row>
  </sheetData>
  <conditionalFormatting sqref="A4:G168">
    <cfRule type="expression" dxfId="9" priority="1">
      <formula>MOD(ROW(),5)=0</formula>
    </cfRule>
  </conditionalFormatting>
  <printOptions gridLines="1" gridLinesSet="0"/>
  <pageMargins left="0.75" right="0.75" top="1" bottom="1" header="0.5" footer="0.5"/>
  <pageSetup orientation="portrait" horizontalDpi="0" verticalDpi="0" copies="0"/>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E0FF0-44DD-4F92-A7EE-F52BB44F6D26}">
  <sheetPr codeName="Sheet16">
    <tabColor theme="6" tint="-0.499984740745262"/>
  </sheetPr>
  <dimension ref="A1:F9"/>
  <sheetViews>
    <sheetView zoomScale="175" zoomScaleNormal="175" workbookViewId="0">
      <selection activeCell="O4" sqref="O4"/>
    </sheetView>
  </sheetViews>
  <sheetFormatPr defaultColWidth="8.85546875" defaultRowHeight="15" x14ac:dyDescent="0.25"/>
  <cols>
    <col min="1" max="1" width="14" style="17" customWidth="1"/>
    <col min="2" max="5" width="10.7109375" style="17" customWidth="1"/>
    <col min="6" max="6" width="10.28515625" style="17" bestFit="1" customWidth="1"/>
    <col min="7" max="16384" width="8.85546875" style="17"/>
  </cols>
  <sheetData>
    <row r="1" spans="1:6" ht="23.25" x14ac:dyDescent="0.35">
      <c r="A1" s="151" t="s">
        <v>654</v>
      </c>
      <c r="B1" s="151"/>
      <c r="C1" s="151"/>
      <c r="D1" s="151"/>
      <c r="E1" s="151"/>
    </row>
    <row r="2" spans="1:6" ht="23.25" x14ac:dyDescent="0.35">
      <c r="A2" s="152">
        <v>42005</v>
      </c>
      <c r="B2" s="152"/>
      <c r="C2" s="152"/>
      <c r="D2" s="152"/>
      <c r="E2" s="152"/>
    </row>
    <row r="4" spans="1:6" ht="15.75" thickBot="1" x14ac:dyDescent="0.3">
      <c r="A4" s="89" t="s">
        <v>167</v>
      </c>
      <c r="B4" s="89" t="s">
        <v>144</v>
      </c>
      <c r="C4" s="89" t="s">
        <v>145</v>
      </c>
      <c r="D4" s="89" t="s">
        <v>146</v>
      </c>
      <c r="E4" s="89" t="s">
        <v>147</v>
      </c>
      <c r="F4" s="89" t="s">
        <v>770</v>
      </c>
    </row>
    <row r="5" spans="1:6" x14ac:dyDescent="0.25">
      <c r="A5" s="91" t="s">
        <v>655</v>
      </c>
      <c r="B5" s="90">
        <v>4520</v>
      </c>
      <c r="C5" s="90">
        <v>3620</v>
      </c>
      <c r="D5" s="90">
        <v>2560</v>
      </c>
      <c r="E5" s="90">
        <v>2750</v>
      </c>
      <c r="F5" s="137">
        <f t="shared" ref="F5:F9" si="0">AVERAGE(B5:E5)</f>
        <v>3362.5</v>
      </c>
    </row>
    <row r="6" spans="1:6" x14ac:dyDescent="0.25">
      <c r="A6" s="91" t="s">
        <v>656</v>
      </c>
      <c r="B6" s="90">
        <v>3220</v>
      </c>
      <c r="C6" s="90">
        <v>5230</v>
      </c>
      <c r="D6" s="90">
        <v>4550</v>
      </c>
      <c r="E6" s="90">
        <v>5400</v>
      </c>
      <c r="F6" s="137">
        <f t="shared" si="0"/>
        <v>4600</v>
      </c>
    </row>
    <row r="7" spans="1:6" x14ac:dyDescent="0.25">
      <c r="A7" s="91" t="s">
        <v>657</v>
      </c>
      <c r="B7" s="90">
        <v>4560</v>
      </c>
      <c r="C7" s="90">
        <v>2320</v>
      </c>
      <c r="D7" s="90">
        <v>3220</v>
      </c>
      <c r="E7" s="90">
        <v>2320</v>
      </c>
      <c r="F7" s="137">
        <f t="shared" si="0"/>
        <v>3105</v>
      </c>
    </row>
    <row r="8" spans="1:6" x14ac:dyDescent="0.25">
      <c r="A8" s="91" t="s">
        <v>658</v>
      </c>
      <c r="B8" s="90">
        <v>5600</v>
      </c>
      <c r="C8" s="90">
        <v>6510</v>
      </c>
      <c r="D8" s="90">
        <v>5660</v>
      </c>
      <c r="E8" s="90">
        <v>4500</v>
      </c>
      <c r="F8" s="137">
        <f t="shared" si="0"/>
        <v>5567.5</v>
      </c>
    </row>
    <row r="9" spans="1:6" x14ac:dyDescent="0.25">
      <c r="A9" s="91" t="s">
        <v>659</v>
      </c>
      <c r="B9" s="90">
        <v>2330</v>
      </c>
      <c r="C9" s="90">
        <v>4520</v>
      </c>
      <c r="D9" s="90">
        <v>5500</v>
      </c>
      <c r="E9" s="90">
        <v>4510</v>
      </c>
      <c r="F9" s="137">
        <f t="shared" si="0"/>
        <v>4215</v>
      </c>
    </row>
  </sheetData>
  <mergeCells count="2">
    <mergeCell ref="A1:E1"/>
    <mergeCell ref="A2:E2"/>
  </mergeCells>
  <pageMargins left="0.75" right="0.75" top="1" bottom="1" header="0.5" footer="0.5"/>
  <pageSetup orientation="portrait" horizontalDpi="1200" verticalDpi="1200"/>
  <headerFooter alignWithMargins="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7CE2F-EDFE-48C1-9D39-607B7B74822A}">
  <sheetPr codeName="Sheet17">
    <tabColor theme="6" tint="-0.499984740745262"/>
  </sheetPr>
  <dimension ref="A1:F9"/>
  <sheetViews>
    <sheetView zoomScale="130" zoomScaleNormal="130" workbookViewId="0">
      <selection activeCell="H22" sqref="H22"/>
    </sheetView>
  </sheetViews>
  <sheetFormatPr defaultColWidth="8.85546875" defaultRowHeight="15" x14ac:dyDescent="0.25"/>
  <cols>
    <col min="1" max="1" width="8.85546875" style="17"/>
    <col min="2" max="5" width="11.7109375" style="17" bestFit="1" customWidth="1"/>
    <col min="6" max="6" width="12.28515625" style="17" bestFit="1" customWidth="1"/>
    <col min="7" max="16384" width="8.85546875" style="17"/>
  </cols>
  <sheetData>
    <row r="1" spans="1:6" ht="23.25" x14ac:dyDescent="0.35">
      <c r="A1" s="151" t="s">
        <v>660</v>
      </c>
      <c r="B1" s="151"/>
      <c r="C1" s="151"/>
      <c r="D1" s="151"/>
      <c r="E1" s="151"/>
    </row>
    <row r="2" spans="1:6" ht="23.25" x14ac:dyDescent="0.35">
      <c r="A2" s="151" t="s">
        <v>661</v>
      </c>
      <c r="B2" s="151"/>
      <c r="C2" s="151"/>
      <c r="D2" s="151"/>
      <c r="E2" s="151"/>
    </row>
    <row r="4" spans="1:6" ht="15.75" thickBot="1" x14ac:dyDescent="0.3">
      <c r="A4" s="89" t="s">
        <v>662</v>
      </c>
      <c r="B4" s="89" t="s">
        <v>663</v>
      </c>
      <c r="C4" s="89" t="s">
        <v>664</v>
      </c>
      <c r="D4" s="89" t="s">
        <v>665</v>
      </c>
      <c r="E4" s="89" t="s">
        <v>666</v>
      </c>
    </row>
    <row r="5" spans="1:6" x14ac:dyDescent="0.25">
      <c r="A5" s="91" t="s">
        <v>667</v>
      </c>
      <c r="B5" s="90">
        <v>2496</v>
      </c>
      <c r="C5" s="90">
        <v>3155</v>
      </c>
      <c r="D5" s="90">
        <v>2743</v>
      </c>
      <c r="E5" s="90">
        <v>4422</v>
      </c>
      <c r="F5" s="90"/>
    </row>
    <row r="6" spans="1:6" x14ac:dyDescent="0.25">
      <c r="A6" s="91" t="s">
        <v>668</v>
      </c>
      <c r="B6" s="90">
        <v>1267</v>
      </c>
      <c r="C6" s="90">
        <v>1566</v>
      </c>
      <c r="D6" s="90">
        <v>1358</v>
      </c>
      <c r="E6" s="90">
        <v>2363</v>
      </c>
      <c r="F6" s="90"/>
    </row>
    <row r="7" spans="1:6" x14ac:dyDescent="0.25">
      <c r="A7" s="91" t="s">
        <v>669</v>
      </c>
      <c r="B7" s="90">
        <v>1809</v>
      </c>
      <c r="C7" s="90">
        <v>1956</v>
      </c>
      <c r="D7" s="90">
        <v>1776</v>
      </c>
      <c r="E7" s="90">
        <v>2789</v>
      </c>
      <c r="F7" s="90"/>
    </row>
    <row r="8" spans="1:6" x14ac:dyDescent="0.25">
      <c r="A8" s="91" t="s">
        <v>670</v>
      </c>
      <c r="B8" s="90">
        <v>1170</v>
      </c>
      <c r="C8" s="90">
        <v>1026</v>
      </c>
      <c r="D8" s="90">
        <v>992</v>
      </c>
      <c r="E8" s="90">
        <v>1558</v>
      </c>
      <c r="F8" s="90"/>
    </row>
    <row r="9" spans="1:6" x14ac:dyDescent="0.25">
      <c r="A9" s="91" t="s">
        <v>671</v>
      </c>
      <c r="B9" s="90">
        <v>1875</v>
      </c>
      <c r="C9" s="90">
        <v>2563</v>
      </c>
      <c r="D9" s="90">
        <v>2005</v>
      </c>
      <c r="E9" s="90">
        <v>1844</v>
      </c>
      <c r="F9" s="90"/>
    </row>
  </sheetData>
  <mergeCells count="2">
    <mergeCell ref="A1:E1"/>
    <mergeCell ref="A2:E2"/>
  </mergeCells>
  <pageMargins left="0.7" right="0.7" top="0.75" bottom="0.75" header="0.3" footer="0.3"/>
  <pageSetup orientation="portrait" horizontalDpi="1200" verticalDpi="12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7770D-4CC9-4FF2-9CA6-3761BBE92A9A}">
  <sheetPr codeName="Sheet18">
    <tabColor theme="6" tint="-0.499984740745262"/>
  </sheetPr>
  <dimension ref="A1:G34"/>
  <sheetViews>
    <sheetView zoomScale="160" zoomScaleNormal="160" workbookViewId="0">
      <selection activeCell="H2" sqref="H2:H6"/>
    </sheetView>
  </sheetViews>
  <sheetFormatPr defaultColWidth="9.140625" defaultRowHeight="15" x14ac:dyDescent="0.25"/>
  <cols>
    <col min="1" max="1" width="19.5703125" customWidth="1"/>
    <col min="2" max="2" width="11.7109375" style="87" customWidth="1"/>
    <col min="3" max="3" width="11.28515625" style="35" customWidth="1"/>
    <col min="4" max="4" width="12.5703125" style="35" customWidth="1"/>
    <col min="5" max="5" width="11.42578125" style="35" bestFit="1" customWidth="1"/>
    <col min="6" max="6" width="12.5703125" style="35" bestFit="1" customWidth="1"/>
    <col min="7" max="7" width="12.7109375" style="35" customWidth="1"/>
  </cols>
  <sheetData>
    <row r="1" spans="1:7" x14ac:dyDescent="0.25">
      <c r="A1" s="86" t="s">
        <v>167</v>
      </c>
      <c r="B1" s="87" t="s">
        <v>618</v>
      </c>
      <c r="C1" s="87" t="s">
        <v>619</v>
      </c>
      <c r="D1" s="87" t="s">
        <v>620</v>
      </c>
      <c r="E1" s="87" t="s">
        <v>621</v>
      </c>
      <c r="F1" s="87" t="s">
        <v>622</v>
      </c>
      <c r="G1" s="87" t="s">
        <v>623</v>
      </c>
    </row>
    <row r="2" spans="1:7" x14ac:dyDescent="0.25">
      <c r="A2" t="s">
        <v>624</v>
      </c>
      <c r="B2" s="87">
        <v>3947</v>
      </c>
      <c r="C2" s="35">
        <v>557</v>
      </c>
      <c r="D2" s="35">
        <v>3863</v>
      </c>
      <c r="E2" s="35">
        <v>1117</v>
      </c>
      <c r="F2" s="35">
        <v>-100</v>
      </c>
      <c r="G2" s="35">
        <v>8690</v>
      </c>
    </row>
    <row r="3" spans="1:7" x14ac:dyDescent="0.25">
      <c r="A3" s="86" t="s">
        <v>625</v>
      </c>
      <c r="B3" s="87">
        <v>4411</v>
      </c>
      <c r="C3" s="35">
        <v>1042</v>
      </c>
      <c r="D3" s="35">
        <v>9355</v>
      </c>
      <c r="E3" s="35">
        <v>1100</v>
      </c>
      <c r="F3" s="35">
        <v>10185</v>
      </c>
      <c r="G3" s="35">
        <v>18749</v>
      </c>
    </row>
    <row r="4" spans="1:7" x14ac:dyDescent="0.25">
      <c r="A4" s="86" t="s">
        <v>626</v>
      </c>
      <c r="B4" s="87">
        <v>2521</v>
      </c>
      <c r="C4" s="35">
        <v>3072</v>
      </c>
      <c r="D4" s="35">
        <v>6702</v>
      </c>
      <c r="E4" s="35">
        <v>2116</v>
      </c>
      <c r="F4" s="35">
        <v>13452</v>
      </c>
      <c r="G4" s="35">
        <v>8046</v>
      </c>
    </row>
    <row r="5" spans="1:7" x14ac:dyDescent="0.25">
      <c r="A5" s="86" t="s">
        <v>627</v>
      </c>
      <c r="B5" s="87">
        <v>4752</v>
      </c>
      <c r="C5" s="35">
        <v>3755</v>
      </c>
      <c r="D5" s="35">
        <v>4415</v>
      </c>
      <c r="E5" s="35">
        <v>1089</v>
      </c>
      <c r="F5" s="35">
        <v>4404</v>
      </c>
      <c r="G5" s="35">
        <v>20114</v>
      </c>
    </row>
    <row r="6" spans="1:7" x14ac:dyDescent="0.25">
      <c r="A6" t="s">
        <v>628</v>
      </c>
      <c r="B6" s="87">
        <v>4964</v>
      </c>
      <c r="C6" s="35">
        <v>3152</v>
      </c>
      <c r="D6" s="35">
        <v>11601</v>
      </c>
      <c r="E6" s="35">
        <v>1122</v>
      </c>
      <c r="F6" s="35">
        <v>3170</v>
      </c>
      <c r="G6" s="35">
        <v>10733</v>
      </c>
    </row>
    <row r="7" spans="1:7" x14ac:dyDescent="0.25">
      <c r="A7" s="86" t="s">
        <v>629</v>
      </c>
      <c r="B7" s="87">
        <v>2327</v>
      </c>
      <c r="C7" s="35">
        <v>4056</v>
      </c>
      <c r="D7" s="35">
        <v>3726</v>
      </c>
      <c r="E7" s="35">
        <v>1135</v>
      </c>
      <c r="F7" s="35">
        <v>8817</v>
      </c>
      <c r="G7" s="35">
        <v>18524</v>
      </c>
    </row>
    <row r="8" spans="1:7" x14ac:dyDescent="0.25">
      <c r="A8" s="86" t="s">
        <v>630</v>
      </c>
      <c r="B8" s="87">
        <v>3967</v>
      </c>
      <c r="C8" s="35">
        <v>4906</v>
      </c>
      <c r="D8" s="35">
        <v>9007</v>
      </c>
      <c r="E8" s="35">
        <v>2113</v>
      </c>
      <c r="F8" s="35">
        <v>13090</v>
      </c>
      <c r="G8" s="35">
        <v>13953</v>
      </c>
    </row>
    <row r="9" spans="1:7" x14ac:dyDescent="0.25">
      <c r="A9" s="86" t="s">
        <v>631</v>
      </c>
      <c r="B9" s="87">
        <v>4670</v>
      </c>
      <c r="C9" s="35">
        <v>521</v>
      </c>
      <c r="D9" s="35">
        <v>4505</v>
      </c>
      <c r="E9" s="35">
        <v>1024</v>
      </c>
      <c r="F9" s="35">
        <v>3528</v>
      </c>
      <c r="G9" s="35">
        <v>15275</v>
      </c>
    </row>
    <row r="10" spans="1:7" x14ac:dyDescent="0.25">
      <c r="A10" s="86" t="s">
        <v>632</v>
      </c>
      <c r="B10" s="87">
        <v>3379</v>
      </c>
      <c r="C10" s="35">
        <v>3428</v>
      </c>
      <c r="D10" s="35">
        <v>3973</v>
      </c>
      <c r="E10" s="35">
        <v>1716</v>
      </c>
      <c r="F10" s="35">
        <v>4839</v>
      </c>
      <c r="G10" s="35">
        <v>13085</v>
      </c>
    </row>
    <row r="11" spans="1:7" x14ac:dyDescent="0.25">
      <c r="A11" t="s">
        <v>633</v>
      </c>
      <c r="B11" s="87">
        <v>5363</v>
      </c>
      <c r="C11" s="35">
        <v>1562</v>
      </c>
      <c r="D11" s="35">
        <v>2945</v>
      </c>
      <c r="E11" s="35">
        <v>1176</v>
      </c>
      <c r="F11" s="35">
        <v>9642</v>
      </c>
      <c r="G11" s="35">
        <v>13714</v>
      </c>
    </row>
    <row r="12" spans="1:7" x14ac:dyDescent="0.25">
      <c r="A12" t="s">
        <v>634</v>
      </c>
      <c r="B12" s="87">
        <v>3275</v>
      </c>
      <c r="C12" s="35">
        <v>2779</v>
      </c>
      <c r="D12" s="35">
        <v>7549</v>
      </c>
      <c r="E12" s="35">
        <v>1101</v>
      </c>
      <c r="F12" s="35">
        <v>5850</v>
      </c>
      <c r="G12" s="35">
        <v>15065</v>
      </c>
    </row>
    <row r="13" spans="1:7" x14ac:dyDescent="0.25">
      <c r="A13" s="86" t="s">
        <v>635</v>
      </c>
      <c r="B13" s="87">
        <v>3860</v>
      </c>
      <c r="C13" s="35">
        <v>3470</v>
      </c>
      <c r="D13" s="35">
        <v>3862</v>
      </c>
      <c r="E13" s="35">
        <v>1040</v>
      </c>
      <c r="F13" s="35">
        <v>10024</v>
      </c>
      <c r="G13" s="35">
        <v>18389</v>
      </c>
    </row>
    <row r="14" spans="1:7" x14ac:dyDescent="0.25">
      <c r="A14" s="86" t="s">
        <v>636</v>
      </c>
      <c r="B14" s="87">
        <v>4685</v>
      </c>
      <c r="C14" s="35">
        <v>1913</v>
      </c>
      <c r="D14" s="35">
        <v>4596</v>
      </c>
      <c r="E14" s="35">
        <v>1126</v>
      </c>
      <c r="F14" s="35">
        <v>5503</v>
      </c>
      <c r="G14" s="35">
        <v>10686</v>
      </c>
    </row>
    <row r="15" spans="1:7" x14ac:dyDescent="0.25">
      <c r="A15" t="s">
        <v>637</v>
      </c>
      <c r="B15" s="87">
        <v>4052</v>
      </c>
      <c r="C15" s="35">
        <v>2883</v>
      </c>
      <c r="D15" s="35">
        <v>2142</v>
      </c>
      <c r="E15" s="35">
        <v>2012</v>
      </c>
      <c r="F15" s="35">
        <v>13547</v>
      </c>
      <c r="G15" s="35">
        <v>21983</v>
      </c>
    </row>
    <row r="16" spans="1:7" x14ac:dyDescent="0.25">
      <c r="A16" s="86" t="s">
        <v>638</v>
      </c>
      <c r="B16" s="87">
        <v>5541</v>
      </c>
      <c r="C16" s="35">
        <v>4931</v>
      </c>
      <c r="D16" s="35">
        <v>8283</v>
      </c>
      <c r="E16" s="35">
        <v>1054</v>
      </c>
      <c r="F16" s="35">
        <v>9543</v>
      </c>
      <c r="G16" s="35">
        <v>11967</v>
      </c>
    </row>
    <row r="17" spans="1:7" x14ac:dyDescent="0.25">
      <c r="A17" s="86" t="s">
        <v>639</v>
      </c>
      <c r="B17" s="87">
        <v>5667</v>
      </c>
      <c r="C17" s="35">
        <v>4798</v>
      </c>
      <c r="D17" s="35">
        <v>8420</v>
      </c>
      <c r="E17" s="35">
        <v>1389</v>
      </c>
      <c r="F17" s="35">
        <v>10468</v>
      </c>
      <c r="G17" s="35">
        <v>12677</v>
      </c>
    </row>
    <row r="18" spans="1:7" x14ac:dyDescent="0.25">
      <c r="A18" s="86" t="s">
        <v>640</v>
      </c>
      <c r="B18" s="87">
        <v>4269</v>
      </c>
      <c r="C18" s="35">
        <v>4459</v>
      </c>
      <c r="D18" s="35">
        <v>2248</v>
      </c>
      <c r="E18" s="35">
        <v>1058</v>
      </c>
      <c r="F18" s="35">
        <v>6267</v>
      </c>
      <c r="G18" s="35">
        <v>14982</v>
      </c>
    </row>
    <row r="19" spans="1:7" x14ac:dyDescent="0.25">
      <c r="A19" s="86" t="s">
        <v>641</v>
      </c>
      <c r="B19" s="87">
        <v>3502</v>
      </c>
      <c r="C19" s="35">
        <v>4172</v>
      </c>
      <c r="D19" s="35">
        <v>11074</v>
      </c>
      <c r="E19" s="35">
        <v>1282</v>
      </c>
      <c r="F19" s="35">
        <v>2365</v>
      </c>
      <c r="G19" s="35">
        <v>9380</v>
      </c>
    </row>
    <row r="20" spans="1:7" x14ac:dyDescent="0.25">
      <c r="A20" s="86" t="s">
        <v>642</v>
      </c>
      <c r="B20" s="87">
        <v>5853</v>
      </c>
      <c r="C20" s="35">
        <v>2011</v>
      </c>
      <c r="D20" s="35">
        <v>3807</v>
      </c>
      <c r="E20" s="35">
        <v>1348</v>
      </c>
      <c r="F20" s="35">
        <v>11110</v>
      </c>
      <c r="G20" s="35">
        <v>18047</v>
      </c>
    </row>
    <row r="21" spans="1:7" x14ac:dyDescent="0.25">
      <c r="A21" s="86" t="s">
        <v>643</v>
      </c>
      <c r="B21" s="87">
        <v>2586</v>
      </c>
      <c r="C21" s="35">
        <v>2398</v>
      </c>
      <c r="D21" s="35">
        <v>2453</v>
      </c>
      <c r="E21" s="35">
        <v>1020</v>
      </c>
      <c r="F21" s="35">
        <v>4612</v>
      </c>
      <c r="G21" s="35">
        <v>20525</v>
      </c>
    </row>
    <row r="22" spans="1:7" x14ac:dyDescent="0.25">
      <c r="A22" s="86" t="s">
        <v>644</v>
      </c>
      <c r="B22" s="87">
        <v>5714</v>
      </c>
      <c r="C22" s="35">
        <v>4960</v>
      </c>
      <c r="D22" s="35">
        <v>11507</v>
      </c>
      <c r="E22" s="35">
        <v>1010</v>
      </c>
      <c r="F22" s="35">
        <v>6599</v>
      </c>
      <c r="G22" s="35">
        <v>11626</v>
      </c>
    </row>
    <row r="23" spans="1:7" x14ac:dyDescent="0.25">
      <c r="A23" s="86" t="s">
        <v>645</v>
      </c>
      <c r="B23" s="87">
        <v>5347</v>
      </c>
      <c r="C23" s="35">
        <v>4060</v>
      </c>
      <c r="D23" s="35">
        <v>7056</v>
      </c>
      <c r="E23" s="35">
        <v>1555</v>
      </c>
      <c r="F23" s="35">
        <v>5439</v>
      </c>
      <c r="G23" s="35">
        <v>15285</v>
      </c>
    </row>
    <row r="24" spans="1:7" x14ac:dyDescent="0.25">
      <c r="A24" t="s">
        <v>646</v>
      </c>
      <c r="B24" s="87">
        <v>4222</v>
      </c>
      <c r="C24" s="35">
        <v>3317</v>
      </c>
      <c r="D24" s="35">
        <v>5849</v>
      </c>
      <c r="E24" s="35">
        <v>2081</v>
      </c>
      <c r="F24" s="35">
        <v>10521</v>
      </c>
      <c r="G24" s="35">
        <v>18979</v>
      </c>
    </row>
    <row r="25" spans="1:7" x14ac:dyDescent="0.25">
      <c r="A25" s="86" t="s">
        <v>647</v>
      </c>
      <c r="B25" s="87">
        <v>5929</v>
      </c>
      <c r="C25" s="35">
        <v>3127</v>
      </c>
      <c r="D25" s="35">
        <v>7971</v>
      </c>
      <c r="E25" s="35">
        <v>1114</v>
      </c>
      <c r="F25" s="35">
        <v>2686</v>
      </c>
      <c r="G25" s="35">
        <v>24099</v>
      </c>
    </row>
    <row r="26" spans="1:7" x14ac:dyDescent="0.25">
      <c r="A26" s="86" t="s">
        <v>648</v>
      </c>
      <c r="B26" s="87">
        <v>4270</v>
      </c>
      <c r="C26" s="35">
        <v>4263</v>
      </c>
      <c r="D26" s="35">
        <v>4999</v>
      </c>
      <c r="E26" s="35">
        <v>1052</v>
      </c>
      <c r="F26" s="35">
        <v>2399</v>
      </c>
      <c r="G26" s="35">
        <v>8924</v>
      </c>
    </row>
    <row r="27" spans="1:7" x14ac:dyDescent="0.25">
      <c r="A27" s="86" t="s">
        <v>649</v>
      </c>
      <c r="B27" s="87">
        <v>5421</v>
      </c>
      <c r="C27" s="35">
        <v>4728</v>
      </c>
      <c r="D27" s="35">
        <v>7158</v>
      </c>
      <c r="E27" s="35">
        <v>1116</v>
      </c>
      <c r="F27" s="35">
        <v>4276</v>
      </c>
      <c r="G27" s="35">
        <v>13907</v>
      </c>
    </row>
    <row r="28" spans="1:7" x14ac:dyDescent="0.25">
      <c r="A28" s="86" t="s">
        <v>650</v>
      </c>
      <c r="B28" s="87">
        <v>3259</v>
      </c>
      <c r="C28" s="35">
        <v>3679</v>
      </c>
      <c r="D28" s="35">
        <v>8406</v>
      </c>
      <c r="E28" s="35">
        <v>2123</v>
      </c>
      <c r="F28" s="35">
        <v>14697</v>
      </c>
      <c r="G28" s="35">
        <v>16827</v>
      </c>
    </row>
    <row r="29" spans="1:7" x14ac:dyDescent="0.25">
      <c r="A29" t="s">
        <v>651</v>
      </c>
      <c r="B29" s="87">
        <v>2943</v>
      </c>
      <c r="C29" s="35">
        <v>3943</v>
      </c>
      <c r="D29" s="35">
        <v>11987</v>
      </c>
      <c r="E29" s="35">
        <v>1183</v>
      </c>
      <c r="F29" s="35">
        <v>3071</v>
      </c>
      <c r="G29" s="35">
        <v>11292</v>
      </c>
    </row>
    <row r="30" spans="1:7" x14ac:dyDescent="0.25">
      <c r="A30" t="s">
        <v>652</v>
      </c>
      <c r="B30" s="87">
        <v>5529</v>
      </c>
      <c r="C30" s="35">
        <v>4925</v>
      </c>
      <c r="D30" s="35">
        <v>3122</v>
      </c>
      <c r="E30" s="35">
        <v>1629</v>
      </c>
      <c r="F30" s="35">
        <v>14684</v>
      </c>
      <c r="G30" s="35">
        <v>20871</v>
      </c>
    </row>
    <row r="31" spans="1:7" x14ac:dyDescent="0.25">
      <c r="A31" s="86" t="s">
        <v>653</v>
      </c>
      <c r="B31" s="87">
        <v>2380</v>
      </c>
      <c r="C31" s="35">
        <v>3247</v>
      </c>
      <c r="D31" s="35">
        <v>11956</v>
      </c>
      <c r="E31" s="35">
        <v>1156</v>
      </c>
      <c r="F31" s="35">
        <v>3098</v>
      </c>
      <c r="G31" s="35">
        <v>8531</v>
      </c>
    </row>
    <row r="34" spans="1:1" x14ac:dyDescent="0.25">
      <c r="A34" s="88"/>
    </row>
  </sheetData>
  <pageMargins left="0.7" right="0.7" top="0.75" bottom="0.75" header="0.3" footer="0.3"/>
  <pageSetup orientation="landscape" r:id="rId1"/>
  <tableParts count="1">
    <tablePart r:id="rId2"/>
  </tableParts>
  <extLst>
    <ext xmlns:x14="http://schemas.microsoft.com/office/spreadsheetml/2009/9/main" uri="{05C60535-1F16-4fd2-B633-F4F36F0B64E0}">
      <x14:sparklineGroups xmlns:xm="http://schemas.microsoft.com/office/excel/2006/main">
        <x14:sparklineGroup type="stacked" displayEmptyCellsAs="gap" high="1" low="1" xr2:uid="{B3629774-48C2-4287-8D7F-69219061917E}">
          <x14:colorSeries theme="6" tint="0.39997558519241921"/>
          <x14:colorNegative theme="0" tint="-0.499984740745262"/>
          <x14:colorAxis rgb="FF000000"/>
          <x14:colorMarkers theme="6" tint="0.79998168889431442"/>
          <x14:colorFirst theme="6" tint="-0.249977111117893"/>
          <x14:colorLast theme="6" tint="-0.249977111117893"/>
          <x14:colorHigh theme="9" tint="-0.249977111117893"/>
          <x14:colorLow rgb="FFFF0000"/>
          <x14:sparklines>
            <x14:sparkline>
              <xm:f>SparkLines!B2:G2</xm:f>
              <xm:sqref>H2</xm:sqref>
            </x14:sparkline>
            <x14:sparkline>
              <xm:f>SparkLines!B3:G3</xm:f>
              <xm:sqref>H3</xm:sqref>
            </x14:sparkline>
            <x14:sparkline>
              <xm:f>SparkLines!B4:G4</xm:f>
              <xm:sqref>H4</xm:sqref>
            </x14:sparkline>
            <x14:sparkline>
              <xm:f>SparkLines!B5:G5</xm:f>
              <xm:sqref>H5</xm:sqref>
            </x14:sparkline>
            <x14:sparkline>
              <xm:f>SparkLines!B6:G6</xm:f>
              <xm:sqref>H6</xm:sqref>
            </x14:sparkline>
          </x14:sparklines>
        </x14:sparklineGroup>
      </x14:sparklineGroup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07881-0F5E-477C-A03E-A4117C8EF920}">
  <sheetPr codeName="Sheet19"/>
  <dimension ref="A1:G9"/>
  <sheetViews>
    <sheetView zoomScale="400" zoomScaleNormal="400" workbookViewId="0">
      <selection activeCell="B1" sqref="B1"/>
    </sheetView>
  </sheetViews>
  <sheetFormatPr defaultColWidth="8.7109375" defaultRowHeight="12.75" x14ac:dyDescent="0.2"/>
  <cols>
    <col min="1" max="7" width="9.28515625" style="129" bestFit="1" customWidth="1"/>
    <col min="8" max="16384" width="8.7109375" style="129"/>
  </cols>
  <sheetData>
    <row r="1" spans="1:7" x14ac:dyDescent="0.2">
      <c r="A1" s="129" t="s">
        <v>771</v>
      </c>
      <c r="B1" s="129" t="s">
        <v>771</v>
      </c>
      <c r="C1" s="129" t="s">
        <v>771</v>
      </c>
      <c r="D1" s="129" t="s">
        <v>771</v>
      </c>
      <c r="E1" s="129" t="s">
        <v>771</v>
      </c>
      <c r="F1" s="129" t="s">
        <v>771</v>
      </c>
      <c r="G1" s="129" t="s">
        <v>771</v>
      </c>
    </row>
    <row r="2" spans="1:7" x14ac:dyDescent="0.2">
      <c r="A2" s="129" t="s">
        <v>772</v>
      </c>
      <c r="B2" s="129" t="s">
        <v>772</v>
      </c>
      <c r="C2" s="129" t="s">
        <v>772</v>
      </c>
      <c r="D2" s="129" t="s">
        <v>772</v>
      </c>
      <c r="E2" s="129" t="s">
        <v>772</v>
      </c>
      <c r="F2" s="129" t="s">
        <v>772</v>
      </c>
      <c r="G2" s="129" t="s">
        <v>772</v>
      </c>
    </row>
    <row r="3" spans="1:7" x14ac:dyDescent="0.2">
      <c r="A3" s="138">
        <f ca="1">TODAY()</f>
        <v>44105</v>
      </c>
      <c r="B3" s="138">
        <f ca="1">TODAY()</f>
        <v>44105</v>
      </c>
      <c r="C3" s="138">
        <f ca="1">TODAY()</f>
        <v>44105</v>
      </c>
      <c r="D3" s="138">
        <f ca="1">TODAY()</f>
        <v>44105</v>
      </c>
      <c r="E3" s="138">
        <f ca="1">TODAY()</f>
        <v>44105</v>
      </c>
      <c r="F3" s="138">
        <f ca="1">TODAY()</f>
        <v>44105</v>
      </c>
      <c r="G3" s="138">
        <f ca="1">TODAY()</f>
        <v>44105</v>
      </c>
    </row>
    <row r="4" spans="1:7" x14ac:dyDescent="0.2">
      <c r="A4" s="129" t="s">
        <v>771</v>
      </c>
      <c r="B4" s="129" t="s">
        <v>771</v>
      </c>
      <c r="C4" s="129" t="s">
        <v>771</v>
      </c>
      <c r="D4" s="129" t="s">
        <v>771</v>
      </c>
      <c r="E4" s="129" t="s">
        <v>771</v>
      </c>
    </row>
    <row r="5" spans="1:7" x14ac:dyDescent="0.2">
      <c r="A5" s="129" t="s">
        <v>772</v>
      </c>
      <c r="B5" s="129" t="s">
        <v>772</v>
      </c>
      <c r="C5" s="129" t="s">
        <v>772</v>
      </c>
      <c r="D5" s="129" t="s">
        <v>772</v>
      </c>
      <c r="E5" s="129" t="s">
        <v>772</v>
      </c>
    </row>
    <row r="6" spans="1:7" x14ac:dyDescent="0.2">
      <c r="A6" s="138">
        <f ca="1">TODAY()</f>
        <v>44105</v>
      </c>
      <c r="B6" s="138">
        <f ca="1">TODAY()</f>
        <v>44105</v>
      </c>
      <c r="C6" s="138">
        <f ca="1">TODAY()</f>
        <v>44105</v>
      </c>
      <c r="D6" s="138">
        <f ca="1">TODAY()</f>
        <v>44105</v>
      </c>
      <c r="E6" s="138">
        <f ca="1">TODAY()</f>
        <v>44105</v>
      </c>
    </row>
    <row r="7" spans="1:7" x14ac:dyDescent="0.2">
      <c r="A7" s="129" t="s">
        <v>771</v>
      </c>
      <c r="B7" s="129" t="s">
        <v>771</v>
      </c>
      <c r="C7" s="129" t="s">
        <v>771</v>
      </c>
    </row>
    <row r="8" spans="1:7" x14ac:dyDescent="0.2">
      <c r="A8" s="129" t="s">
        <v>772</v>
      </c>
      <c r="B8" s="129" t="s">
        <v>772</v>
      </c>
      <c r="C8" s="129" t="s">
        <v>772</v>
      </c>
    </row>
    <row r="9" spans="1:7" x14ac:dyDescent="0.2">
      <c r="A9" s="138">
        <f ca="1">TODAY()</f>
        <v>44105</v>
      </c>
      <c r="B9" s="138">
        <f ca="1">TODAY()</f>
        <v>44105</v>
      </c>
      <c r="C9" s="138">
        <f ca="1">TODAY()</f>
        <v>44105</v>
      </c>
    </row>
  </sheetData>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yFirstMacro">
                <anchor moveWithCells="1" sizeWithCells="1">
                  <from>
                    <xdr:col>5</xdr:col>
                    <xdr:colOff>114300</xdr:colOff>
                    <xdr:row>3</xdr:row>
                    <xdr:rowOff>104775</xdr:rowOff>
                  </from>
                  <to>
                    <xdr:col>6</xdr:col>
                    <xdr:colOff>352425</xdr:colOff>
                    <xdr:row>5</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9BE37-E64A-4FEA-8B7E-1AC5D80F6E9C}">
  <sheetPr codeName="Sheet20">
    <tabColor theme="4" tint="0.59999389629810485"/>
  </sheetPr>
  <dimension ref="A1:G26"/>
  <sheetViews>
    <sheetView zoomScale="220" zoomScaleNormal="220" workbookViewId="0"/>
  </sheetViews>
  <sheetFormatPr defaultColWidth="8.85546875" defaultRowHeight="15" x14ac:dyDescent="0.25"/>
  <cols>
    <col min="1" max="1" width="12.42578125" style="131" bestFit="1" customWidth="1"/>
    <col min="2" max="5" width="10.85546875" style="131" customWidth="1"/>
    <col min="6" max="6" width="10.28515625" style="131" customWidth="1"/>
    <col min="7" max="7" width="11.42578125" style="131" customWidth="1"/>
    <col min="8" max="8" width="6.42578125" style="131" bestFit="1" customWidth="1"/>
    <col min="9" max="16384" width="8.85546875" style="131"/>
  </cols>
  <sheetData>
    <row r="1" spans="1:7" ht="23.25" x14ac:dyDescent="0.35">
      <c r="A1" s="92" t="s">
        <v>740</v>
      </c>
      <c r="B1" s="46"/>
      <c r="C1" s="46"/>
      <c r="D1" s="46"/>
      <c r="E1" s="46"/>
      <c r="F1" s="46"/>
      <c r="G1" s="130"/>
    </row>
    <row r="2" spans="1:7" x14ac:dyDescent="0.25">
      <c r="A2" s="153" t="s">
        <v>741</v>
      </c>
      <c r="B2" s="46"/>
      <c r="C2" s="46"/>
      <c r="D2" s="46"/>
      <c r="E2" s="46"/>
    </row>
    <row r="3" spans="1:7" x14ac:dyDescent="0.25">
      <c r="A3" s="55"/>
      <c r="B3" s="46"/>
      <c r="C3" s="46"/>
      <c r="D3" s="46"/>
      <c r="E3" s="46"/>
    </row>
    <row r="4" spans="1:7" x14ac:dyDescent="0.25">
      <c r="A4" s="55"/>
      <c r="B4" s="46" t="s">
        <v>742</v>
      </c>
      <c r="C4" s="55">
        <f ca="1">TODAY()</f>
        <v>44105</v>
      </c>
      <c r="D4" s="46"/>
      <c r="E4" s="46"/>
    </row>
    <row r="5" spans="1:7" x14ac:dyDescent="0.25">
      <c r="B5" s="131" t="s">
        <v>743</v>
      </c>
      <c r="C5" s="131" t="s">
        <v>773</v>
      </c>
    </row>
    <row r="6" spans="1:7" x14ac:dyDescent="0.25">
      <c r="A6" s="46"/>
      <c r="B6" s="46"/>
      <c r="C6" s="46"/>
      <c r="D6" s="46"/>
      <c r="E6" s="46"/>
      <c r="F6" s="46"/>
      <c r="G6" s="46"/>
    </row>
    <row r="7" spans="1:7" x14ac:dyDescent="0.25">
      <c r="A7" s="154" t="s">
        <v>655</v>
      </c>
      <c r="B7" s="155">
        <v>3241</v>
      </c>
      <c r="C7" s="155">
        <v>3109</v>
      </c>
      <c r="D7" s="155">
        <v>3703</v>
      </c>
      <c r="E7" s="155">
        <v>4246</v>
      </c>
      <c r="F7" s="132"/>
    </row>
    <row r="8" spans="1:7" x14ac:dyDescent="0.25">
      <c r="A8" s="154" t="s">
        <v>656</v>
      </c>
      <c r="B8" s="155">
        <v>4712</v>
      </c>
      <c r="C8" s="155">
        <v>4895</v>
      </c>
      <c r="D8" s="155">
        <v>4107</v>
      </c>
      <c r="E8" s="155">
        <v>4754</v>
      </c>
      <c r="F8" s="132"/>
    </row>
    <row r="9" spans="1:7" x14ac:dyDescent="0.25">
      <c r="A9" s="154" t="s">
        <v>657</v>
      </c>
      <c r="B9" s="155">
        <v>3860</v>
      </c>
      <c r="C9" s="155">
        <v>4816</v>
      </c>
      <c r="D9" s="155">
        <v>3632</v>
      </c>
      <c r="E9" s="155">
        <v>3307</v>
      </c>
      <c r="F9" s="132"/>
    </row>
    <row r="10" spans="1:7" x14ac:dyDescent="0.25">
      <c r="A10" s="154" t="s">
        <v>658</v>
      </c>
      <c r="B10" s="155">
        <v>3027</v>
      </c>
      <c r="C10" s="155">
        <v>3119</v>
      </c>
      <c r="D10" s="155">
        <v>4895</v>
      </c>
      <c r="E10" s="155">
        <v>3532</v>
      </c>
      <c r="F10" s="132"/>
    </row>
    <row r="11" spans="1:7" x14ac:dyDescent="0.25">
      <c r="A11" s="154" t="s">
        <v>659</v>
      </c>
      <c r="B11" s="155">
        <v>4813</v>
      </c>
      <c r="C11" s="155">
        <v>3237</v>
      </c>
      <c r="D11" s="155">
        <v>3324</v>
      </c>
      <c r="E11" s="155">
        <v>4762</v>
      </c>
    </row>
    <row r="12" spans="1:7" x14ac:dyDescent="0.25">
      <c r="A12" s="154" t="s">
        <v>744</v>
      </c>
      <c r="B12" s="155">
        <v>4167</v>
      </c>
      <c r="C12" s="155">
        <v>3382</v>
      </c>
      <c r="D12" s="155">
        <v>4458</v>
      </c>
      <c r="E12" s="155">
        <v>4199</v>
      </c>
    </row>
    <row r="13" spans="1:7" x14ac:dyDescent="0.25">
      <c r="A13" s="46"/>
      <c r="B13" s="132"/>
      <c r="C13" s="132"/>
      <c r="D13" s="132"/>
      <c r="E13" s="132"/>
    </row>
    <row r="14" spans="1:7" x14ac:dyDescent="0.25">
      <c r="A14" s="46"/>
      <c r="B14" s="132"/>
      <c r="C14" s="132"/>
      <c r="D14" s="132"/>
      <c r="E14" s="132"/>
    </row>
    <row r="15" spans="1:7" x14ac:dyDescent="0.25">
      <c r="A15" s="46"/>
      <c r="B15" s="132"/>
      <c r="C15" s="132"/>
      <c r="D15" s="132"/>
      <c r="E15" s="132"/>
    </row>
    <row r="16" spans="1:7" x14ac:dyDescent="0.25">
      <c r="A16" s="46"/>
      <c r="B16" s="132"/>
      <c r="C16" s="132"/>
      <c r="D16" s="132"/>
      <c r="E16" s="132"/>
    </row>
    <row r="17" spans="1:5" x14ac:dyDescent="0.25">
      <c r="A17" s="46"/>
      <c r="B17" s="132"/>
      <c r="C17" s="132"/>
      <c r="D17" s="132"/>
      <c r="E17" s="132"/>
    </row>
    <row r="18" spans="1:5" x14ac:dyDescent="0.25">
      <c r="A18" s="46"/>
      <c r="B18" s="132"/>
      <c r="C18" s="132"/>
      <c r="D18" s="132"/>
      <c r="E18" s="132"/>
    </row>
    <row r="19" spans="1:5" x14ac:dyDescent="0.25">
      <c r="A19" s="46"/>
      <c r="B19" s="132"/>
      <c r="C19" s="132"/>
      <c r="D19" s="132"/>
      <c r="E19" s="132"/>
    </row>
    <row r="20" spans="1:5" x14ac:dyDescent="0.25">
      <c r="A20" s="46"/>
      <c r="B20" s="132"/>
      <c r="C20" s="132"/>
      <c r="D20" s="132"/>
      <c r="E20" s="132"/>
    </row>
    <row r="21" spans="1:5" x14ac:dyDescent="0.25">
      <c r="A21" s="46"/>
      <c r="B21" s="132"/>
      <c r="C21" s="132"/>
      <c r="D21" s="132"/>
      <c r="E21" s="132"/>
    </row>
    <row r="22" spans="1:5" x14ac:dyDescent="0.25">
      <c r="A22" s="46"/>
      <c r="B22" s="132"/>
      <c r="C22" s="132"/>
      <c r="D22" s="132"/>
      <c r="E22" s="132"/>
    </row>
    <row r="23" spans="1:5" x14ac:dyDescent="0.25">
      <c r="A23" s="46"/>
      <c r="B23" s="132"/>
      <c r="C23" s="132"/>
      <c r="D23" s="132"/>
      <c r="E23" s="132"/>
    </row>
    <row r="24" spans="1:5" x14ac:dyDescent="0.25">
      <c r="A24" s="46"/>
      <c r="B24" s="132"/>
      <c r="C24" s="132"/>
      <c r="D24" s="132"/>
      <c r="E24" s="132"/>
    </row>
    <row r="25" spans="1:5" x14ac:dyDescent="0.25">
      <c r="A25" s="46"/>
      <c r="B25" s="132"/>
      <c r="C25" s="132"/>
      <c r="D25" s="132"/>
      <c r="E25" s="132"/>
    </row>
    <row r="26" spans="1:5" x14ac:dyDescent="0.25">
      <c r="A26" s="46"/>
      <c r="B26" s="132"/>
      <c r="C26" s="132"/>
      <c r="D26" s="132"/>
      <c r="E26" s="132"/>
    </row>
  </sheetData>
  <pageMargins left="0.75" right="0.75" top="1" bottom="1" header="0.5" footer="0.5"/>
  <pageSetup orientation="portrait" horizontalDpi="1200" verticalDpi="1200"/>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DB279-59D4-4EF4-ACAC-12ECA5E0B612}">
  <sheetPr codeName="Sheet21">
    <tabColor theme="4" tint="0.59999389629810485"/>
  </sheetPr>
  <dimension ref="A1:G26"/>
  <sheetViews>
    <sheetView zoomScale="235" zoomScaleNormal="235" workbookViewId="0"/>
  </sheetViews>
  <sheetFormatPr defaultColWidth="8.85546875" defaultRowHeight="15" x14ac:dyDescent="0.25"/>
  <cols>
    <col min="1" max="1" width="12.42578125" style="131" bestFit="1" customWidth="1"/>
    <col min="2" max="5" width="10.85546875" style="131" customWidth="1"/>
    <col min="6" max="6" width="10.28515625" style="131" customWidth="1"/>
    <col min="7" max="7" width="11.42578125" style="131" customWidth="1"/>
    <col min="8" max="8" width="6.42578125" style="131" bestFit="1" customWidth="1"/>
    <col min="9" max="16384" width="8.85546875" style="131"/>
  </cols>
  <sheetData>
    <row r="1" spans="1:7" ht="23.25" x14ac:dyDescent="0.35">
      <c r="A1" s="92" t="s">
        <v>740</v>
      </c>
      <c r="B1" s="46"/>
      <c r="C1" s="46"/>
      <c r="D1" s="46"/>
      <c r="E1" s="46"/>
      <c r="F1" s="46"/>
      <c r="G1" s="130"/>
    </row>
    <row r="2" spans="1:7" x14ac:dyDescent="0.25">
      <c r="A2" s="153" t="s">
        <v>741</v>
      </c>
      <c r="B2" s="46"/>
      <c r="C2" s="46"/>
      <c r="D2" s="46"/>
      <c r="E2" s="46"/>
    </row>
    <row r="3" spans="1:7" x14ac:dyDescent="0.25">
      <c r="A3" s="55"/>
      <c r="B3" s="46"/>
      <c r="C3" s="46"/>
      <c r="D3" s="46"/>
      <c r="E3" s="46"/>
    </row>
    <row r="4" spans="1:7" x14ac:dyDescent="0.25">
      <c r="A4" s="55"/>
      <c r="B4" s="46" t="s">
        <v>742</v>
      </c>
      <c r="C4" s="55">
        <f ca="1">TODAY()</f>
        <v>44105</v>
      </c>
      <c r="D4" s="46"/>
      <c r="E4" s="46"/>
    </row>
    <row r="5" spans="1:7" x14ac:dyDescent="0.25">
      <c r="B5" s="131" t="s">
        <v>743</v>
      </c>
      <c r="C5" s="131" t="s">
        <v>773</v>
      </c>
    </row>
    <row r="6" spans="1:7" x14ac:dyDescent="0.25">
      <c r="A6" s="46"/>
      <c r="B6" s="46"/>
      <c r="C6" s="46"/>
      <c r="D6" s="46"/>
      <c r="E6" s="46"/>
      <c r="F6" s="46"/>
      <c r="G6" s="46"/>
    </row>
    <row r="7" spans="1:7" x14ac:dyDescent="0.25">
      <c r="A7" s="154" t="s">
        <v>655</v>
      </c>
      <c r="B7" s="155">
        <v>3241</v>
      </c>
      <c r="C7" s="155">
        <v>3109</v>
      </c>
      <c r="D7" s="155">
        <v>3703</v>
      </c>
      <c r="E7" s="155">
        <v>4246</v>
      </c>
      <c r="F7" s="132"/>
    </row>
    <row r="8" spans="1:7" x14ac:dyDescent="0.25">
      <c r="A8" s="154" t="s">
        <v>656</v>
      </c>
      <c r="B8" s="155">
        <v>4712</v>
      </c>
      <c r="C8" s="155">
        <v>4895</v>
      </c>
      <c r="D8" s="155">
        <v>4107</v>
      </c>
      <c r="E8" s="155">
        <v>4754</v>
      </c>
      <c r="F8" s="132"/>
    </row>
    <row r="9" spans="1:7" x14ac:dyDescent="0.25">
      <c r="A9" s="154" t="s">
        <v>657</v>
      </c>
      <c r="B9" s="155">
        <v>3860</v>
      </c>
      <c r="C9" s="155">
        <v>4816</v>
      </c>
      <c r="D9" s="155">
        <v>3632</v>
      </c>
      <c r="E9" s="155">
        <v>3307</v>
      </c>
      <c r="F9" s="132"/>
    </row>
    <row r="10" spans="1:7" x14ac:dyDescent="0.25">
      <c r="A10" s="154" t="s">
        <v>658</v>
      </c>
      <c r="B10" s="155">
        <v>3027</v>
      </c>
      <c r="C10" s="155">
        <v>3119</v>
      </c>
      <c r="D10" s="155">
        <v>4895</v>
      </c>
      <c r="E10" s="155">
        <v>3532</v>
      </c>
      <c r="F10" s="132"/>
    </row>
    <row r="11" spans="1:7" x14ac:dyDescent="0.25">
      <c r="A11" s="154" t="s">
        <v>659</v>
      </c>
      <c r="B11" s="155">
        <v>4813</v>
      </c>
      <c r="C11" s="155">
        <v>3237</v>
      </c>
      <c r="D11" s="155">
        <v>3324</v>
      </c>
      <c r="E11" s="155">
        <v>4762</v>
      </c>
    </row>
    <row r="12" spans="1:7" x14ac:dyDescent="0.25">
      <c r="A12" s="154" t="s">
        <v>744</v>
      </c>
      <c r="B12" s="155">
        <v>4167</v>
      </c>
      <c r="C12" s="155">
        <v>3382</v>
      </c>
      <c r="D12" s="155">
        <v>4458</v>
      </c>
      <c r="E12" s="155">
        <v>4199</v>
      </c>
    </row>
    <row r="13" spans="1:7" x14ac:dyDescent="0.25">
      <c r="A13" s="46"/>
      <c r="B13" s="132"/>
      <c r="C13" s="132"/>
      <c r="D13" s="132"/>
      <c r="E13" s="132"/>
    </row>
    <row r="14" spans="1:7" x14ac:dyDescent="0.25">
      <c r="A14" s="46"/>
      <c r="B14" s="132"/>
      <c r="C14" s="132"/>
      <c r="D14" s="132"/>
      <c r="E14" s="132"/>
    </row>
    <row r="15" spans="1:7" x14ac:dyDescent="0.25">
      <c r="A15" s="46"/>
      <c r="B15" s="132"/>
      <c r="C15" s="132"/>
      <c r="D15" s="132"/>
      <c r="E15" s="132"/>
    </row>
    <row r="16" spans="1:7" x14ac:dyDescent="0.25">
      <c r="A16" s="46"/>
      <c r="B16" s="132"/>
      <c r="C16" s="132"/>
      <c r="D16" s="132"/>
      <c r="E16" s="132"/>
    </row>
    <row r="17" spans="1:5" x14ac:dyDescent="0.25">
      <c r="A17" s="46"/>
      <c r="B17" s="132"/>
      <c r="C17" s="132"/>
      <c r="D17" s="132"/>
      <c r="E17" s="132"/>
    </row>
    <row r="18" spans="1:5" x14ac:dyDescent="0.25">
      <c r="A18" s="46"/>
      <c r="B18" s="132"/>
      <c r="C18" s="132"/>
      <c r="D18" s="132"/>
      <c r="E18" s="132"/>
    </row>
    <row r="19" spans="1:5" x14ac:dyDescent="0.25">
      <c r="A19" s="46"/>
      <c r="B19" s="132"/>
      <c r="C19" s="132"/>
      <c r="D19" s="132"/>
      <c r="E19" s="132"/>
    </row>
    <row r="20" spans="1:5" x14ac:dyDescent="0.25">
      <c r="A20" s="46"/>
      <c r="B20" s="132"/>
      <c r="C20" s="132"/>
      <c r="D20" s="132"/>
      <c r="E20" s="132"/>
    </row>
    <row r="21" spans="1:5" x14ac:dyDescent="0.25">
      <c r="A21" s="46"/>
      <c r="B21" s="132"/>
      <c r="C21" s="132"/>
      <c r="D21" s="132"/>
      <c r="E21" s="132"/>
    </row>
    <row r="22" spans="1:5" x14ac:dyDescent="0.25">
      <c r="A22" s="46"/>
      <c r="B22" s="132"/>
      <c r="C22" s="132"/>
      <c r="D22" s="132"/>
      <c r="E22" s="132"/>
    </row>
    <row r="23" spans="1:5" x14ac:dyDescent="0.25">
      <c r="A23" s="46"/>
      <c r="B23" s="132"/>
      <c r="C23" s="132"/>
      <c r="D23" s="132"/>
      <c r="E23" s="132"/>
    </row>
    <row r="24" spans="1:5" x14ac:dyDescent="0.25">
      <c r="A24" s="46"/>
      <c r="B24" s="132"/>
      <c r="C24" s="132"/>
      <c r="D24" s="132"/>
      <c r="E24" s="132"/>
    </row>
    <row r="25" spans="1:5" x14ac:dyDescent="0.25">
      <c r="A25" s="46"/>
      <c r="B25" s="132"/>
      <c r="C25" s="132"/>
      <c r="D25" s="132"/>
      <c r="E25" s="132"/>
    </row>
    <row r="26" spans="1:5" x14ac:dyDescent="0.25">
      <c r="A26" s="46"/>
      <c r="B26" s="132"/>
      <c r="C26" s="132"/>
      <c r="D26" s="132"/>
      <c r="E26" s="132"/>
    </row>
  </sheetData>
  <pageMargins left="0.75" right="0.75" top="1" bottom="1" header="0.5" footer="0.5"/>
  <pageSetup orientation="portrait" horizontalDpi="1200" verticalDpi="12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MyFormatMacro">
                <anchor moveWithCells="1" sizeWithCells="1">
                  <from>
                    <xdr:col>4</xdr:col>
                    <xdr:colOff>561975</xdr:colOff>
                    <xdr:row>0</xdr:row>
                    <xdr:rowOff>133350</xdr:rowOff>
                  </from>
                  <to>
                    <xdr:col>6</xdr:col>
                    <xdr:colOff>161925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7CCBC-0DA3-49C2-A9E5-6D88D828734A}">
  <sheetPr codeName="Sheet22">
    <tabColor theme="4" tint="0.59999389629810485"/>
  </sheetPr>
  <dimension ref="A1:G26"/>
  <sheetViews>
    <sheetView zoomScale="130" zoomScaleNormal="130" workbookViewId="0">
      <selection activeCell="A7" sqref="A7:E26"/>
    </sheetView>
  </sheetViews>
  <sheetFormatPr defaultColWidth="8.85546875" defaultRowHeight="15" x14ac:dyDescent="0.25"/>
  <cols>
    <col min="1" max="1" width="12.42578125" style="131" bestFit="1" customWidth="1"/>
    <col min="2" max="5" width="10.85546875" style="131" customWidth="1"/>
    <col min="6" max="6" width="10.28515625" style="131" customWidth="1"/>
    <col min="7" max="7" width="11.42578125" style="131" customWidth="1"/>
    <col min="8" max="8" width="6.42578125" style="131" bestFit="1" customWidth="1"/>
    <col min="9" max="16384" width="8.85546875" style="131"/>
  </cols>
  <sheetData>
    <row r="1" spans="1:7" ht="23.25" x14ac:dyDescent="0.35">
      <c r="A1" s="92" t="s">
        <v>740</v>
      </c>
      <c r="B1" s="46"/>
      <c r="C1" s="46"/>
      <c r="D1" s="46"/>
      <c r="E1" s="46"/>
      <c r="F1" s="46"/>
      <c r="G1" s="130"/>
    </row>
    <row r="2" spans="1:7" x14ac:dyDescent="0.25">
      <c r="A2" s="153" t="s">
        <v>741</v>
      </c>
      <c r="B2" s="46"/>
      <c r="C2" s="46"/>
      <c r="D2" s="46"/>
      <c r="E2" s="46"/>
    </row>
    <row r="3" spans="1:7" x14ac:dyDescent="0.25">
      <c r="A3" s="55"/>
      <c r="B3" s="46"/>
      <c r="C3" s="46"/>
      <c r="D3" s="46"/>
      <c r="E3" s="46"/>
    </row>
    <row r="4" spans="1:7" x14ac:dyDescent="0.25">
      <c r="A4" s="55"/>
      <c r="B4" s="46" t="s">
        <v>742</v>
      </c>
      <c r="C4" s="55">
        <f ca="1">TODAY()</f>
        <v>44105</v>
      </c>
      <c r="D4" s="46"/>
      <c r="E4" s="46"/>
    </row>
    <row r="5" spans="1:7" x14ac:dyDescent="0.25">
      <c r="B5" s="131" t="s">
        <v>743</v>
      </c>
      <c r="C5" s="131" t="s">
        <v>773</v>
      </c>
    </row>
    <row r="6" spans="1:7" x14ac:dyDescent="0.25">
      <c r="A6" s="46"/>
      <c r="B6" s="46"/>
      <c r="C6" s="46"/>
      <c r="D6" s="46"/>
      <c r="E6" s="46"/>
      <c r="F6" s="46"/>
      <c r="G6" s="46"/>
    </row>
    <row r="7" spans="1:7" x14ac:dyDescent="0.25">
      <c r="A7" s="154" t="s">
        <v>655</v>
      </c>
      <c r="B7" s="155">
        <v>3241</v>
      </c>
      <c r="C7" s="155">
        <v>3109</v>
      </c>
      <c r="D7" s="155">
        <v>3703</v>
      </c>
      <c r="E7" s="155">
        <v>4246</v>
      </c>
      <c r="F7" s="132"/>
    </row>
    <row r="8" spans="1:7" x14ac:dyDescent="0.25">
      <c r="A8" s="154" t="s">
        <v>656</v>
      </c>
      <c r="B8" s="155">
        <v>4712</v>
      </c>
      <c r="C8" s="155">
        <v>4895</v>
      </c>
      <c r="D8" s="155">
        <v>4107</v>
      </c>
      <c r="E8" s="155">
        <v>4754</v>
      </c>
      <c r="F8" s="132"/>
    </row>
    <row r="9" spans="1:7" x14ac:dyDescent="0.25">
      <c r="A9" s="154" t="s">
        <v>657</v>
      </c>
      <c r="B9" s="155">
        <v>3860</v>
      </c>
      <c r="C9" s="155">
        <v>4816</v>
      </c>
      <c r="D9" s="155">
        <v>3632</v>
      </c>
      <c r="E9" s="155">
        <v>3307</v>
      </c>
      <c r="F9" s="132"/>
    </row>
    <row r="10" spans="1:7" x14ac:dyDescent="0.25">
      <c r="A10" s="154" t="s">
        <v>658</v>
      </c>
      <c r="B10" s="155">
        <v>3027</v>
      </c>
      <c r="C10" s="155">
        <v>3119</v>
      </c>
      <c r="D10" s="155">
        <v>4895</v>
      </c>
      <c r="E10" s="155">
        <v>3532</v>
      </c>
      <c r="F10" s="132"/>
    </row>
    <row r="11" spans="1:7" x14ac:dyDescent="0.25">
      <c r="A11" s="154" t="s">
        <v>659</v>
      </c>
      <c r="B11" s="155">
        <v>4813</v>
      </c>
      <c r="C11" s="155">
        <v>3237</v>
      </c>
      <c r="D11" s="155">
        <v>3324</v>
      </c>
      <c r="E11" s="155">
        <v>4762</v>
      </c>
    </row>
    <row r="12" spans="1:7" x14ac:dyDescent="0.25">
      <c r="A12" s="154" t="s">
        <v>744</v>
      </c>
      <c r="B12" s="155">
        <v>4167</v>
      </c>
      <c r="C12" s="155">
        <v>3382</v>
      </c>
      <c r="D12" s="155">
        <v>4458</v>
      </c>
      <c r="E12" s="155">
        <v>4199</v>
      </c>
    </row>
    <row r="13" spans="1:7" x14ac:dyDescent="0.25">
      <c r="A13" s="154" t="s">
        <v>745</v>
      </c>
      <c r="B13" s="155">
        <v>4453</v>
      </c>
      <c r="C13" s="155">
        <v>3303</v>
      </c>
      <c r="D13" s="155">
        <v>3344</v>
      </c>
      <c r="E13" s="155">
        <v>3938</v>
      </c>
    </row>
    <row r="14" spans="1:7" x14ac:dyDescent="0.25">
      <c r="A14" s="154" t="s">
        <v>746</v>
      </c>
      <c r="B14" s="155">
        <v>4622</v>
      </c>
      <c r="C14" s="155">
        <v>4280</v>
      </c>
      <c r="D14" s="155">
        <v>3574</v>
      </c>
      <c r="E14" s="155">
        <v>3477</v>
      </c>
    </row>
    <row r="15" spans="1:7" x14ac:dyDescent="0.25">
      <c r="A15" s="154" t="s">
        <v>747</v>
      </c>
      <c r="B15" s="155">
        <v>3990</v>
      </c>
      <c r="C15" s="155">
        <v>4547</v>
      </c>
      <c r="D15" s="155">
        <v>4883</v>
      </c>
      <c r="E15" s="155">
        <v>4439</v>
      </c>
    </row>
    <row r="16" spans="1:7" x14ac:dyDescent="0.25">
      <c r="A16" s="154" t="s">
        <v>748</v>
      </c>
      <c r="B16" s="155">
        <v>4115</v>
      </c>
      <c r="C16" s="155">
        <v>4557</v>
      </c>
      <c r="D16" s="155">
        <v>3870</v>
      </c>
      <c r="E16" s="155">
        <v>3938</v>
      </c>
    </row>
    <row r="17" spans="1:5" x14ac:dyDescent="0.25">
      <c r="A17" s="154" t="s">
        <v>749</v>
      </c>
      <c r="B17" s="155">
        <v>3239</v>
      </c>
      <c r="C17" s="155">
        <v>4545</v>
      </c>
      <c r="D17" s="155">
        <v>3676</v>
      </c>
      <c r="E17" s="155">
        <v>3899</v>
      </c>
    </row>
    <row r="18" spans="1:5" x14ac:dyDescent="0.25">
      <c r="A18" s="154" t="s">
        <v>750</v>
      </c>
      <c r="B18" s="155">
        <v>4778</v>
      </c>
      <c r="C18" s="155">
        <v>3055</v>
      </c>
      <c r="D18" s="155">
        <v>4750</v>
      </c>
      <c r="E18" s="155">
        <v>4079</v>
      </c>
    </row>
    <row r="19" spans="1:5" x14ac:dyDescent="0.25">
      <c r="A19" s="154" t="s">
        <v>751</v>
      </c>
      <c r="B19" s="155">
        <v>3819</v>
      </c>
      <c r="C19" s="155">
        <v>3534</v>
      </c>
      <c r="D19" s="155">
        <v>4667</v>
      </c>
      <c r="E19" s="155">
        <v>4808</v>
      </c>
    </row>
    <row r="20" spans="1:5" x14ac:dyDescent="0.25">
      <c r="A20" s="154" t="s">
        <v>752</v>
      </c>
      <c r="B20" s="155">
        <v>3831</v>
      </c>
      <c r="C20" s="155">
        <v>3414</v>
      </c>
      <c r="D20" s="155">
        <v>4205</v>
      </c>
      <c r="E20" s="155">
        <v>4782</v>
      </c>
    </row>
    <row r="21" spans="1:5" x14ac:dyDescent="0.25">
      <c r="A21" s="154" t="s">
        <v>753</v>
      </c>
      <c r="B21" s="155">
        <v>3716</v>
      </c>
      <c r="C21" s="155">
        <v>3963</v>
      </c>
      <c r="D21" s="155">
        <v>3230</v>
      </c>
      <c r="E21" s="155">
        <v>4517</v>
      </c>
    </row>
    <row r="22" spans="1:5" x14ac:dyDescent="0.25">
      <c r="A22" s="154" t="s">
        <v>754</v>
      </c>
      <c r="B22" s="155">
        <v>4646</v>
      </c>
      <c r="C22" s="155">
        <v>3044</v>
      </c>
      <c r="D22" s="155">
        <v>3399</v>
      </c>
      <c r="E22" s="155">
        <v>3665</v>
      </c>
    </row>
    <row r="23" spans="1:5" x14ac:dyDescent="0.25">
      <c r="A23" s="154" t="s">
        <v>755</v>
      </c>
      <c r="B23" s="155">
        <v>4880</v>
      </c>
      <c r="C23" s="155">
        <v>4448</v>
      </c>
      <c r="D23" s="155">
        <v>4958</v>
      </c>
      <c r="E23" s="155">
        <v>4712</v>
      </c>
    </row>
    <row r="24" spans="1:5" x14ac:dyDescent="0.25">
      <c r="A24" s="154" t="s">
        <v>756</v>
      </c>
      <c r="B24" s="155">
        <v>4963</v>
      </c>
      <c r="C24" s="155">
        <v>4648</v>
      </c>
      <c r="D24" s="155">
        <v>3762</v>
      </c>
      <c r="E24" s="155">
        <v>4693</v>
      </c>
    </row>
    <row r="25" spans="1:5" x14ac:dyDescent="0.25">
      <c r="A25" s="154" t="s">
        <v>757</v>
      </c>
      <c r="B25" s="155">
        <v>3407</v>
      </c>
      <c r="C25" s="155">
        <v>3273</v>
      </c>
      <c r="D25" s="155">
        <v>3365</v>
      </c>
      <c r="E25" s="155">
        <v>4796</v>
      </c>
    </row>
    <row r="26" spans="1:5" x14ac:dyDescent="0.25">
      <c r="A26" s="154" t="s">
        <v>758</v>
      </c>
      <c r="B26" s="155">
        <v>3157</v>
      </c>
      <c r="C26" s="155">
        <v>3106</v>
      </c>
      <c r="D26" s="155">
        <v>3989</v>
      </c>
      <c r="E26" s="155">
        <v>3121</v>
      </c>
    </row>
  </sheetData>
  <pageMargins left="0.75" right="0.75" top="1" bottom="1" header="0.5" footer="0.5"/>
  <pageSetup orientation="portrait" horizontalDpi="1200" verticalDpi="1200"/>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6D8E2-BF45-42A0-926F-1CA7E61337B3}">
  <sheetPr codeName="Sheet23">
    <tabColor theme="4" tint="0.59999389629810485"/>
  </sheetPr>
  <dimension ref="A1:G26"/>
  <sheetViews>
    <sheetView tabSelected="1" zoomScale="130" zoomScaleNormal="130" workbookViewId="0"/>
  </sheetViews>
  <sheetFormatPr defaultColWidth="8.85546875" defaultRowHeight="15" x14ac:dyDescent="0.25"/>
  <cols>
    <col min="1" max="1" width="12.42578125" style="131" bestFit="1" customWidth="1"/>
    <col min="2" max="5" width="10.85546875" style="131" customWidth="1"/>
    <col min="6" max="6" width="10.28515625" style="131" customWidth="1"/>
    <col min="7" max="7" width="11.42578125" style="131" customWidth="1"/>
    <col min="8" max="8" width="6.42578125" style="131" bestFit="1" customWidth="1"/>
    <col min="9" max="16384" width="8.85546875" style="131"/>
  </cols>
  <sheetData>
    <row r="1" spans="1:7" ht="23.25" x14ac:dyDescent="0.35">
      <c r="A1" s="92" t="s">
        <v>740</v>
      </c>
      <c r="B1" s="46"/>
      <c r="C1" s="46"/>
      <c r="D1" s="46"/>
      <c r="E1" s="46"/>
      <c r="F1" s="46"/>
      <c r="G1" s="130"/>
    </row>
    <row r="2" spans="1:7" x14ac:dyDescent="0.25">
      <c r="A2" s="153" t="s">
        <v>741</v>
      </c>
      <c r="B2" s="46"/>
      <c r="C2" s="46"/>
      <c r="D2" s="46"/>
      <c r="E2" s="46"/>
    </row>
    <row r="3" spans="1:7" x14ac:dyDescent="0.25">
      <c r="A3" s="55"/>
      <c r="B3" s="46"/>
      <c r="C3" s="46"/>
      <c r="D3" s="46"/>
      <c r="E3" s="46"/>
    </row>
    <row r="4" spans="1:7" x14ac:dyDescent="0.25">
      <c r="A4" s="55"/>
      <c r="B4" s="46" t="s">
        <v>742</v>
      </c>
      <c r="C4" s="55">
        <f ca="1">TODAY()</f>
        <v>44105</v>
      </c>
      <c r="D4" s="46"/>
      <c r="E4" s="46"/>
    </row>
    <row r="5" spans="1:7" x14ac:dyDescent="0.25">
      <c r="B5" s="131" t="s">
        <v>743</v>
      </c>
      <c r="C5" s="131" t="s">
        <v>773</v>
      </c>
    </row>
    <row r="6" spans="1:7" x14ac:dyDescent="0.25">
      <c r="A6" s="46"/>
      <c r="B6" s="46"/>
      <c r="C6" s="46"/>
      <c r="D6" s="46"/>
      <c r="E6" s="46"/>
      <c r="F6" s="46"/>
      <c r="G6" s="46"/>
    </row>
    <row r="7" spans="1:7" x14ac:dyDescent="0.25">
      <c r="A7" s="154" t="s">
        <v>655</v>
      </c>
      <c r="B7" s="155">
        <v>3241</v>
      </c>
      <c r="C7" s="155">
        <v>3109</v>
      </c>
      <c r="D7" s="155">
        <v>3703</v>
      </c>
      <c r="E7" s="155">
        <v>4246</v>
      </c>
      <c r="F7" s="132"/>
    </row>
    <row r="8" spans="1:7" x14ac:dyDescent="0.25">
      <c r="A8" s="154" t="s">
        <v>656</v>
      </c>
      <c r="B8" s="155">
        <v>4712</v>
      </c>
      <c r="C8" s="155">
        <v>4895</v>
      </c>
      <c r="D8" s="155">
        <v>4107</v>
      </c>
      <c r="E8" s="155">
        <v>4754</v>
      </c>
      <c r="F8" s="132"/>
    </row>
    <row r="9" spans="1:7" x14ac:dyDescent="0.25">
      <c r="A9" s="154" t="s">
        <v>657</v>
      </c>
      <c r="B9" s="155">
        <v>3860</v>
      </c>
      <c r="C9" s="155">
        <v>4816</v>
      </c>
      <c r="D9" s="155">
        <v>3632</v>
      </c>
      <c r="E9" s="155">
        <v>3307</v>
      </c>
      <c r="F9" s="132"/>
    </row>
    <row r="10" spans="1:7" x14ac:dyDescent="0.25">
      <c r="A10" s="154" t="s">
        <v>658</v>
      </c>
      <c r="B10" s="155">
        <v>3027</v>
      </c>
      <c r="C10" s="155">
        <v>3119</v>
      </c>
      <c r="D10" s="155">
        <v>4895</v>
      </c>
      <c r="E10" s="155">
        <v>3532</v>
      </c>
      <c r="F10" s="132"/>
    </row>
    <row r="11" spans="1:7" x14ac:dyDescent="0.25">
      <c r="A11" s="154" t="s">
        <v>659</v>
      </c>
      <c r="B11" s="155">
        <v>4813</v>
      </c>
      <c r="C11" s="155">
        <v>3237</v>
      </c>
      <c r="D11" s="155">
        <v>3324</v>
      </c>
      <c r="E11" s="155">
        <v>4762</v>
      </c>
    </row>
    <row r="12" spans="1:7" x14ac:dyDescent="0.25">
      <c r="A12" s="154" t="s">
        <v>744</v>
      </c>
      <c r="B12" s="155">
        <v>4167</v>
      </c>
      <c r="C12" s="155">
        <v>3382</v>
      </c>
      <c r="D12" s="155">
        <v>4458</v>
      </c>
      <c r="E12" s="155">
        <v>4199</v>
      </c>
    </row>
    <row r="13" spans="1:7" x14ac:dyDescent="0.25">
      <c r="A13" s="154" t="s">
        <v>745</v>
      </c>
      <c r="B13" s="155">
        <v>4453</v>
      </c>
      <c r="C13" s="155">
        <v>3303</v>
      </c>
      <c r="D13" s="155">
        <v>3344</v>
      </c>
      <c r="E13" s="155">
        <v>3938</v>
      </c>
    </row>
    <row r="14" spans="1:7" x14ac:dyDescent="0.25">
      <c r="A14" s="154" t="s">
        <v>746</v>
      </c>
      <c r="B14" s="155">
        <v>4622</v>
      </c>
      <c r="C14" s="155">
        <v>4280</v>
      </c>
      <c r="D14" s="155">
        <v>3574</v>
      </c>
      <c r="E14" s="155">
        <v>3477</v>
      </c>
    </row>
    <row r="15" spans="1:7" x14ac:dyDescent="0.25">
      <c r="A15" s="154" t="s">
        <v>747</v>
      </c>
      <c r="B15" s="155">
        <v>3990</v>
      </c>
      <c r="C15" s="155">
        <v>4547</v>
      </c>
      <c r="D15" s="155">
        <v>4883</v>
      </c>
      <c r="E15" s="155">
        <v>4439</v>
      </c>
    </row>
    <row r="16" spans="1:7" x14ac:dyDescent="0.25">
      <c r="A16" s="154" t="s">
        <v>748</v>
      </c>
      <c r="B16" s="155">
        <v>4115</v>
      </c>
      <c r="C16" s="155">
        <v>4557</v>
      </c>
      <c r="D16" s="155">
        <v>3870</v>
      </c>
      <c r="E16" s="155">
        <v>3938</v>
      </c>
    </row>
    <row r="17" spans="1:5" x14ac:dyDescent="0.25">
      <c r="A17" s="154" t="s">
        <v>749</v>
      </c>
      <c r="B17" s="155">
        <v>3239</v>
      </c>
      <c r="C17" s="155">
        <v>4545</v>
      </c>
      <c r="D17" s="155">
        <v>3676</v>
      </c>
      <c r="E17" s="155">
        <v>3899</v>
      </c>
    </row>
    <row r="18" spans="1:5" x14ac:dyDescent="0.25">
      <c r="A18" s="154" t="s">
        <v>750</v>
      </c>
      <c r="B18" s="155">
        <v>4778</v>
      </c>
      <c r="C18" s="155">
        <v>3055</v>
      </c>
      <c r="D18" s="155">
        <v>4750</v>
      </c>
      <c r="E18" s="155">
        <v>4079</v>
      </c>
    </row>
    <row r="19" spans="1:5" x14ac:dyDescent="0.25">
      <c r="A19" s="154" t="s">
        <v>751</v>
      </c>
      <c r="B19" s="155">
        <v>3819</v>
      </c>
      <c r="C19" s="155">
        <v>3534</v>
      </c>
      <c r="D19" s="155">
        <v>4667</v>
      </c>
      <c r="E19" s="155">
        <v>4808</v>
      </c>
    </row>
    <row r="20" spans="1:5" x14ac:dyDescent="0.25">
      <c r="A20" s="154" t="s">
        <v>752</v>
      </c>
      <c r="B20" s="155">
        <v>3831</v>
      </c>
      <c r="C20" s="155">
        <v>3414</v>
      </c>
      <c r="D20" s="155">
        <v>4205</v>
      </c>
      <c r="E20" s="155">
        <v>4782</v>
      </c>
    </row>
    <row r="21" spans="1:5" x14ac:dyDescent="0.25">
      <c r="A21" s="154" t="s">
        <v>753</v>
      </c>
      <c r="B21" s="155">
        <v>3716</v>
      </c>
      <c r="C21" s="155">
        <v>3963</v>
      </c>
      <c r="D21" s="155">
        <v>3230</v>
      </c>
      <c r="E21" s="155">
        <v>4517</v>
      </c>
    </row>
    <row r="22" spans="1:5" x14ac:dyDescent="0.25">
      <c r="A22" s="154" t="s">
        <v>754</v>
      </c>
      <c r="B22" s="155">
        <v>4646</v>
      </c>
      <c r="C22" s="155">
        <v>3044</v>
      </c>
      <c r="D22" s="155">
        <v>3399</v>
      </c>
      <c r="E22" s="155">
        <v>3665</v>
      </c>
    </row>
    <row r="23" spans="1:5" x14ac:dyDescent="0.25">
      <c r="A23" s="154" t="s">
        <v>755</v>
      </c>
      <c r="B23" s="155">
        <v>4880</v>
      </c>
      <c r="C23" s="155">
        <v>4448</v>
      </c>
      <c r="D23" s="155">
        <v>4958</v>
      </c>
      <c r="E23" s="155">
        <v>4712</v>
      </c>
    </row>
    <row r="24" spans="1:5" x14ac:dyDescent="0.25">
      <c r="A24" s="154" t="s">
        <v>756</v>
      </c>
      <c r="B24" s="155">
        <v>4963</v>
      </c>
      <c r="C24" s="155">
        <v>4648</v>
      </c>
      <c r="D24" s="155">
        <v>3762</v>
      </c>
      <c r="E24" s="155">
        <v>4693</v>
      </c>
    </row>
    <row r="25" spans="1:5" x14ac:dyDescent="0.25">
      <c r="A25" s="154" t="s">
        <v>757</v>
      </c>
      <c r="B25" s="155">
        <v>3407</v>
      </c>
      <c r="C25" s="155">
        <v>3273</v>
      </c>
      <c r="D25" s="155">
        <v>3365</v>
      </c>
      <c r="E25" s="155">
        <v>4796</v>
      </c>
    </row>
    <row r="26" spans="1:5" x14ac:dyDescent="0.25">
      <c r="A26" s="154" t="s">
        <v>758</v>
      </c>
      <c r="B26" s="155">
        <v>3157</v>
      </c>
      <c r="C26" s="155">
        <v>3106</v>
      </c>
      <c r="D26" s="155">
        <v>3989</v>
      </c>
      <c r="E26" s="155">
        <v>3121</v>
      </c>
    </row>
  </sheetData>
  <pageMargins left="0.75" right="0.75" top="1" bottom="1" header="0.5" footer="0.5"/>
  <pageSetup orientation="portrait" horizontalDpi="1200" verticalDpi="1200"/>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BB0F8902A9EA347821B97ED17B52B3D" ma:contentTypeVersion="12" ma:contentTypeDescription="Create a new document." ma:contentTypeScope="" ma:versionID="3db41298d1b58fcf760e173893b1847c">
  <xsd:schema xmlns:xsd="http://www.w3.org/2001/XMLSchema" xmlns:xs="http://www.w3.org/2001/XMLSchema" xmlns:p="http://schemas.microsoft.com/office/2006/metadata/properties" xmlns:ns3="76edacd5-c09c-4e01-ad3a-da30c3f2f77f" xmlns:ns4="a53de513-27b1-47f0-8443-d2fa86a56752" targetNamespace="http://schemas.microsoft.com/office/2006/metadata/properties" ma:root="true" ma:fieldsID="ade689d4be74774d136fc4f962e6ef47" ns3:_="" ns4:_="">
    <xsd:import namespace="76edacd5-c09c-4e01-ad3a-da30c3f2f77f"/>
    <xsd:import namespace="a53de513-27b1-47f0-8443-d2fa86a56752"/>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edacd5-c09c-4e01-ad3a-da30c3f2f77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53de513-27b1-47f0-8443-d2fa86a56752"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CDA692-8E78-49C3-B08F-298D920A4FE2}">
  <ds:schemaRefs>
    <ds:schemaRef ds:uri="http://schemas.microsoft.com/sharepoint/v3/contenttype/forms"/>
  </ds:schemaRefs>
</ds:datastoreItem>
</file>

<file path=customXml/itemProps2.xml><?xml version="1.0" encoding="utf-8"?>
<ds:datastoreItem xmlns:ds="http://schemas.openxmlformats.org/officeDocument/2006/customXml" ds:itemID="{5B4E0500-225B-44E2-A0A4-5A5EB776601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82A360E-03FF-4C87-A485-5CD24C45FC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edacd5-c09c-4e01-ad3a-da30c3f2f77f"/>
    <ds:schemaRef ds:uri="a53de513-27b1-47f0-8443-d2fa86a567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VLOOKUP-INDEXMATCH</vt:lpstr>
      <vt:lpstr>VLOOKUP RANGE</vt:lpstr>
      <vt:lpstr>IF Function</vt:lpstr>
      <vt:lpstr>Text Functions</vt:lpstr>
      <vt:lpstr>Text</vt:lpstr>
      <vt:lpstr>Data</vt:lpstr>
      <vt:lpstr>PT1</vt:lpstr>
      <vt:lpstr>PT2</vt:lpstr>
      <vt:lpstr> Complete Data</vt:lpstr>
      <vt:lpstr>Array Formulas</vt:lpstr>
      <vt:lpstr>Index &amp; Match Mulitple Search</vt:lpstr>
      <vt:lpstr> Hide Errors</vt:lpstr>
      <vt:lpstr>Hide Duplicate Values</vt:lpstr>
      <vt:lpstr>Format Entire Row </vt:lpstr>
      <vt:lpstr>Banded Rows Conditional Format</vt:lpstr>
      <vt:lpstr>Charting 1</vt:lpstr>
      <vt:lpstr>Charting 2</vt:lpstr>
      <vt:lpstr>SparkLines</vt:lpstr>
      <vt:lpstr>Intro Macros</vt:lpstr>
      <vt:lpstr>Data for Recording</vt:lpstr>
      <vt:lpstr>Data for Running</vt:lpstr>
      <vt:lpstr>More Data</vt:lpstr>
      <vt:lpstr>Final Run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Faz Karim</dc:creator>
  <cp:lastModifiedBy>Faz Karim</cp:lastModifiedBy>
  <cp:lastPrinted>2019-08-29T03:40:40Z</cp:lastPrinted>
  <dcterms:created xsi:type="dcterms:W3CDTF">2019-08-29T03:25:46Z</dcterms:created>
  <dcterms:modified xsi:type="dcterms:W3CDTF">2020-10-01T18:41:18Z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0x0101002BB0F8902A9EA347821B97ED17B52B3D</vt:lpwstr>
  </property>
</Properties>
</file>